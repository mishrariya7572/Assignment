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abad7b226527e019/Desktop/answe/"/>
    </mc:Choice>
  </mc:AlternateContent>
  <xr:revisionPtr revIDLastSave="0" documentId="8_{1A7B18A1-A813-46CC-986A-D04AF1DCC301}" xr6:coauthVersionLast="47" xr6:coauthVersionMax="47" xr10:uidLastSave="{00000000-0000-0000-0000-000000000000}"/>
  <bookViews>
    <workbookView xWindow="-108" yWindow="-108" windowWidth="23256" windowHeight="12456" xr2:uid="{8F35E11B-F0F1-4356-96C5-F52BEE6D7A6F}"/>
  </bookViews>
  <sheets>
    <sheet name="Average 1" sheetId="1" r:id="rId1"/>
    <sheet name="Average 3" sheetId="2" r:id="rId2"/>
    <sheet name="Count 1" sheetId="3" r:id="rId3"/>
    <sheet name="Count 2" sheetId="4" r:id="rId4"/>
    <sheet name="Count 3" sheetId="5" r:id="rId5"/>
    <sheet name="Hlookup" sheetId="6" r:id="rId6"/>
    <sheet name="IF 1 " sheetId="7" r:id="rId7"/>
    <sheet name="IF 2" sheetId="8" r:id="rId8"/>
    <sheet name="IF 3" sheetId="9" r:id="rId9"/>
    <sheet name="IF 4" sheetId="10" r:id="rId10"/>
    <sheet name=" MATH 1" sheetId="11" r:id="rId11"/>
    <sheet name="MAX MIN 1" sheetId="12" r:id="rId12"/>
    <sheet name="MAX MIN 2" sheetId="13" r:id="rId13"/>
    <sheet name="MAX MIN 3" sheetId="14" r:id="rId14"/>
    <sheet name="Nested IF" sheetId="15" r:id="rId15"/>
    <sheet name="Sum 1" sheetId="16" r:id="rId16"/>
    <sheet name="Sum 2" sheetId="17" r:id="rId17"/>
    <sheet name="Sum 3" sheetId="18" r:id="rId18"/>
    <sheet name="Sumif 1" sheetId="19" r:id="rId19"/>
    <sheet name="Sumif 2" sheetId="20" r:id="rId20"/>
    <sheet name="Vlookup+Approx Match" sheetId="21" r:id="rId21"/>
    <sheet name="Vlookup 1" sheetId="22"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22" l="1"/>
  <c r="D29" i="22"/>
  <c r="F22" i="22"/>
  <c r="F20" i="22"/>
  <c r="D12" i="21"/>
  <c r="D13" i="21"/>
  <c r="D11" i="21"/>
  <c r="E28" i="20" a="1"/>
  <c r="E28" i="20" s="1"/>
  <c r="E24" i="20"/>
  <c r="E20" i="20"/>
  <c r="J21" i="19"/>
  <c r="J20" i="19"/>
  <c r="J18" i="19"/>
  <c r="J16" i="19"/>
  <c r="J15" i="19"/>
  <c r="E23" i="18"/>
  <c r="E22" i="18"/>
  <c r="E19" i="18"/>
  <c r="E16" i="18"/>
  <c r="E13" i="18"/>
  <c r="E10" i="18"/>
  <c r="E7" i="18"/>
  <c r="D100" i="17"/>
  <c r="D21" i="16"/>
  <c r="E13" i="15"/>
  <c r="E14" i="15"/>
  <c r="E15" i="15"/>
  <c r="E12" i="15"/>
  <c r="D15" i="14"/>
  <c r="H12" i="13"/>
  <c r="H13" i="13"/>
  <c r="H14" i="13"/>
  <c r="H11" i="13"/>
  <c r="E17" i="12"/>
  <c r="E16" i="12"/>
  <c r="E15" i="12"/>
  <c r="F28" i="11"/>
  <c r="F27" i="11"/>
  <c r="F22" i="11"/>
  <c r="F23" i="11"/>
  <c r="F21" i="11"/>
  <c r="F17" i="11"/>
  <c r="F16" i="11"/>
  <c r="F15" i="11"/>
  <c r="F14" i="11"/>
  <c r="G15" i="10"/>
  <c r="G16" i="10"/>
  <c r="G17" i="10"/>
  <c r="G18" i="10"/>
  <c r="G19" i="10"/>
  <c r="G20" i="10"/>
  <c r="G14" i="10"/>
  <c r="G14" i="9"/>
  <c r="G15" i="9"/>
  <c r="G16" i="9"/>
  <c r="G17" i="9"/>
  <c r="G18" i="9"/>
  <c r="G19" i="9"/>
  <c r="G20" i="9"/>
  <c r="G13" i="9"/>
  <c r="F14" i="9"/>
  <c r="F15" i="9"/>
  <c r="F16" i="9"/>
  <c r="F17" i="9"/>
  <c r="F18" i="9"/>
  <c r="F19" i="9"/>
  <c r="F20" i="9"/>
  <c r="F13" i="9"/>
  <c r="I10" i="8" a="1"/>
  <c r="I10" i="8" s="1"/>
  <c r="H11" i="8"/>
  <c r="H12" i="8"/>
  <c r="H13" i="8"/>
  <c r="H10" i="8"/>
  <c r="F10" i="8"/>
  <c r="F11" i="8"/>
  <c r="F12" i="8"/>
  <c r="F13" i="8"/>
  <c r="E12" i="7"/>
  <c r="E13" i="7"/>
  <c r="E14" i="7"/>
  <c r="E11" i="7"/>
  <c r="B29" i="5"/>
  <c r="B26" i="5"/>
  <c r="B23" i="5"/>
  <c r="B20" i="5"/>
  <c r="D32" i="4"/>
  <c r="D26" i="4"/>
  <c r="D24" i="3"/>
  <c r="D21" i="3"/>
  <c r="D27" i="2"/>
  <c r="D26" i="2"/>
  <c r="D21" i="2"/>
  <c r="D20" i="2"/>
  <c r="D19" i="2"/>
  <c r="E24" i="1"/>
  <c r="E22" i="1"/>
  <c r="E20" i="1"/>
  <c r="E1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<sst xmlns="http://schemas.openxmlformats.org/spreadsheetml/2006/main" count="806" uniqueCount="552">
  <si>
    <t>Category</t>
  </si>
  <si>
    <t>Name</t>
  </si>
  <si>
    <t>Weight</t>
  </si>
  <si>
    <t>Light Weight</t>
  </si>
  <si>
    <t>A</t>
  </si>
  <si>
    <t>B</t>
  </si>
  <si>
    <t>C</t>
  </si>
  <si>
    <t>Medium Weight</t>
  </si>
  <si>
    <t>D</t>
  </si>
  <si>
    <t>E</t>
  </si>
  <si>
    <t>F</t>
  </si>
  <si>
    <t>Heavy Weight</t>
  </si>
  <si>
    <t>G</t>
  </si>
  <si>
    <t>H</t>
  </si>
  <si>
    <t>I</t>
  </si>
  <si>
    <t>Use only Average function for the following excercises</t>
  </si>
  <si>
    <t>Average Weight of "Light Weight" category</t>
  </si>
  <si>
    <t>Average Weight of "Medium Weight" category</t>
  </si>
  <si>
    <t>Average Weight of "Heavey Weight" category</t>
  </si>
  <si>
    <t xml:space="preserve">Average for all categories </t>
  </si>
  <si>
    <t>The Table below contains percipitation measurments as measured in the Rochester NY area last year.</t>
  </si>
  <si>
    <t>We sampled 3 days in each of the first three months of 2018:</t>
  </si>
  <si>
    <t>Sample</t>
  </si>
  <si>
    <t>Month</t>
  </si>
  <si>
    <t>Rainfall (mm)</t>
  </si>
  <si>
    <t>Sample 1</t>
  </si>
  <si>
    <t>Sample 2</t>
  </si>
  <si>
    <t>Sample 3</t>
  </si>
  <si>
    <t>Sample 4</t>
  </si>
  <si>
    <t>Sample 5</t>
  </si>
  <si>
    <t>Sample 6</t>
  </si>
  <si>
    <t>Sample 7</t>
  </si>
  <si>
    <t>Sample 8</t>
  </si>
  <si>
    <t>Sample 9</t>
  </si>
  <si>
    <t>What was the average precipitation for each month?</t>
  </si>
  <si>
    <t>Now, calculate the average of the following numbers only with formulas SUM and COUNT (don't use Average formula)</t>
  </si>
  <si>
    <t>What is the average of all of the samples?</t>
  </si>
  <si>
    <t>Now get the same result with Average function</t>
  </si>
  <si>
    <t>1) Use the average function and calculate the average of all the three category of weight. (for this question use excel file named average 1).</t>
  </si>
  <si>
    <t>2) The excel file named Average 3, the table below contains precipitation measurement as measured in the Rochester NY area last year and we sampled 3 days in each of the first three months of 2018. Complete all the question in the file given.</t>
  </si>
  <si>
    <t>The table below shows survey responses; the respondents could use any value for their answers.</t>
  </si>
  <si>
    <t>How many times do you eat breakfast in a week?</t>
  </si>
  <si>
    <t>Name:</t>
  </si>
  <si>
    <t>Answer</t>
  </si>
  <si>
    <t>Avery</t>
  </si>
  <si>
    <t>Ron</t>
  </si>
  <si>
    <t>Avi</t>
  </si>
  <si>
    <t>Ravi</t>
  </si>
  <si>
    <t>Ricky</t>
  </si>
  <si>
    <t>Three</t>
  </si>
  <si>
    <t>Nate</t>
  </si>
  <si>
    <t xml:space="preserve">I don't know </t>
  </si>
  <si>
    <t>David</t>
  </si>
  <si>
    <t>Solve by using COUNT and COUNTA formulas, and use only column B (Grey) to answer the questions:</t>
  </si>
  <si>
    <t>Question</t>
  </si>
  <si>
    <t>How many numerical (with numbers only) responses are in the range?</t>
  </si>
  <si>
    <t>How many responses in total are in the range?</t>
  </si>
  <si>
    <t>The following table represents a bank statement of ExcelMaster company.</t>
  </si>
  <si>
    <t>Column E shows the total dollar value amount of each of the  accounts.</t>
  </si>
  <si>
    <t>Account Number</t>
  </si>
  <si>
    <t>Currency</t>
  </si>
  <si>
    <t>Amount</t>
  </si>
  <si>
    <t>USD - United States</t>
  </si>
  <si>
    <t>£ - United Kingdom</t>
  </si>
  <si>
    <t>Wine - Japan</t>
  </si>
  <si>
    <t>Error</t>
  </si>
  <si>
    <t>Euro - EMU</t>
  </si>
  <si>
    <t>Dollar - Australia</t>
  </si>
  <si>
    <t>USD - Canada</t>
  </si>
  <si>
    <t>Crown - Denmark</t>
  </si>
  <si>
    <t>Crown - Norway</t>
  </si>
  <si>
    <t>Rand - South Africa</t>
  </si>
  <si>
    <t>Crown - Sweden</t>
  </si>
  <si>
    <t>Frank - Switzerland</t>
  </si>
  <si>
    <t>Diner - Jordan banknotes</t>
  </si>
  <si>
    <t>Pound - Lebanese bills</t>
  </si>
  <si>
    <t>Pound - Egyptian banknotes</t>
  </si>
  <si>
    <t>Answer by using functions COUNT and COUNTA</t>
  </si>
  <si>
    <t>How many numerical answers appear in column C - Amount?</t>
  </si>
  <si>
    <t>COUNT returns the number of cells with a number.</t>
  </si>
  <si>
    <t>How many non-blank answers (numbers and letters) appear in column C?</t>
  </si>
  <si>
    <t>3) In excel file named Count 1, The table below shows survey responses; the respondents could use any value for their answers.</t>
  </si>
  <si>
    <t>4) Answer all the questions using COUNT and COUNTA function.</t>
  </si>
  <si>
    <t>5) In excel file named COUNT 2, The following table represents a bank statement of ExcelMaster company. Column E shows the total dollar value amount of each of the accounts. Answer all the questions using COUNT and COUNTA function.</t>
  </si>
  <si>
    <t>6) In excel file named COUNT 3, Solve all the question by using formulas COUNT, COUNTA and COUNTBLANK</t>
  </si>
  <si>
    <t>Answer using the following range:</t>
  </si>
  <si>
    <t>Orange</t>
  </si>
  <si>
    <t>L</t>
  </si>
  <si>
    <t>AAA</t>
  </si>
  <si>
    <t>Apple1234</t>
  </si>
  <si>
    <t>Solve by using formulas COUNT, COUNTA and COUNTBLANK:</t>
  </si>
  <si>
    <t>How many cells with a number value are in the grey range (cells B3 to B13)?</t>
  </si>
  <si>
    <t>How many empty cells are in the grey range?</t>
  </si>
  <si>
    <t>How many non number cells are in  the grey range?</t>
  </si>
  <si>
    <t>How many cells in total are in the range?</t>
  </si>
  <si>
    <t>7) In excel file named HLOOKUP, solve all the question using HLOOKUP only.</t>
  </si>
  <si>
    <t>Data</t>
  </si>
  <si>
    <t>Employee ID</t>
  </si>
  <si>
    <t>Employee Name</t>
  </si>
  <si>
    <t>John Doe</t>
  </si>
  <si>
    <t>Jane Smith</t>
  </si>
  <si>
    <t>Bob Johnson</t>
  </si>
  <si>
    <t>Sarah Lee</t>
  </si>
  <si>
    <t>Tom Davis</t>
  </si>
  <si>
    <t>Emily Brown</t>
  </si>
  <si>
    <t>Michael Wilson</t>
  </si>
  <si>
    <t>Jessica Davis</t>
  </si>
  <si>
    <t>David Martin</t>
  </si>
  <si>
    <t>Rachel Green</t>
  </si>
  <si>
    <t>Department</t>
  </si>
  <si>
    <t>HR</t>
  </si>
  <si>
    <t>Marketing</t>
  </si>
  <si>
    <t>IT</t>
  </si>
  <si>
    <t>Finance</t>
  </si>
  <si>
    <t>Salary</t>
  </si>
  <si>
    <t>Bonus</t>
  </si>
  <si>
    <t>Total Pay</t>
  </si>
  <si>
    <t>What is the department of employee with ID 102?</t>
  </si>
  <si>
    <t>Enter function here:</t>
  </si>
  <si>
    <t>What is the salary of employee with ID 105?</t>
  </si>
  <si>
    <t xml:space="preserve">What is the total pay of employee with ID 107? </t>
  </si>
  <si>
    <t>8) In excel file named IF 1, Table A contains names and their respective grades for Excel 101 Course. Complete column C using only IF formula.</t>
  </si>
  <si>
    <t>Table A contains names and their respective grades for Excel 101 Course</t>
  </si>
  <si>
    <t>Complete column C using only IF formula</t>
  </si>
  <si>
    <t>Grade 60 or higher = Pass</t>
  </si>
  <si>
    <t>Grade less than 60 = Fail</t>
  </si>
  <si>
    <t>Grade</t>
  </si>
  <si>
    <t>Pass/Fail</t>
  </si>
  <si>
    <t>Adi</t>
  </si>
  <si>
    <t>Beni</t>
  </si>
  <si>
    <t>Charlie</t>
  </si>
  <si>
    <t>Dani</t>
  </si>
  <si>
    <t>9) In excel file named IF 2, The following table is an extract from an accounting system that contains four journal entries. Check if column A's cells match column B's cell. if they match - return "match", otherwise return "no match".</t>
  </si>
  <si>
    <t>The following table is an extract from an accounting system that contains four journal entries</t>
  </si>
  <si>
    <t>Check if column A's cells match column B's cell</t>
  </si>
  <si>
    <t>if they match - return "match", otherwise return "no match"</t>
  </si>
  <si>
    <t>Debit</t>
  </si>
  <si>
    <t>Credit</t>
  </si>
  <si>
    <t>Same value?</t>
  </si>
  <si>
    <t>Journal Entry 1</t>
  </si>
  <si>
    <t xml:space="preserve">$94.00 </t>
  </si>
  <si>
    <t xml:space="preserve"> $94.00 </t>
  </si>
  <si>
    <t>Journal Entry 2</t>
  </si>
  <si>
    <t xml:space="preserve">$109.00 </t>
  </si>
  <si>
    <t xml:space="preserve"> $109.00 </t>
  </si>
  <si>
    <t>Journal Entry 3</t>
  </si>
  <si>
    <t xml:space="preserve">$85.00 </t>
  </si>
  <si>
    <t xml:space="preserve"> $85.50 </t>
  </si>
  <si>
    <t>Journal Entry 4</t>
  </si>
  <si>
    <t xml:space="preserve">$12.00 </t>
  </si>
  <si>
    <t xml:space="preserve"> $12.00 </t>
  </si>
  <si>
    <t>10) In excel file named IF 3, The table below contains details of high school student’s names and ages, use IF formula to complete columns D and E.If the student's age is 16 or above, he/she is eligible for a driver's license. Check if they are eligible or not. Answer in column D.</t>
  </si>
  <si>
    <t>The table below contains details of high school students names and ages, use IF formula to complete columns D and E</t>
  </si>
  <si>
    <t>If the student's age is 16 or above, he/she is eligible for a driver's license. Check if they are eligible or not. Answer in column D</t>
  </si>
  <si>
    <t>If the student is younger than 18 years old he/she is a minor. Check whether the student is a minor or not. for Minor return "Minor" and non minor = "Adult" anwswer in column E</t>
  </si>
  <si>
    <t>Column D</t>
  </si>
  <si>
    <t>Column E</t>
  </si>
  <si>
    <t>Number</t>
  </si>
  <si>
    <t>Age</t>
  </si>
  <si>
    <t>Driver Licence</t>
  </si>
  <si>
    <t>Minor/Adult?</t>
  </si>
  <si>
    <t>Arik</t>
  </si>
  <si>
    <t>Ben</t>
  </si>
  <si>
    <t>Cermit</t>
  </si>
  <si>
    <t>Dan</t>
  </si>
  <si>
    <t>Eliko</t>
  </si>
  <si>
    <t>Fage</t>
  </si>
  <si>
    <t>George</t>
  </si>
  <si>
    <t>Herzl</t>
  </si>
  <si>
    <t>11) If the student is younger than 18 years old, he/she is a minor. Check whether the student is a minor or not. for Minor return "Minor" and non minor = "Adult" answer in column E.</t>
  </si>
  <si>
    <t>Length(A)</t>
  </si>
  <si>
    <t>Length(B)</t>
  </si>
  <si>
    <t>12) In excel file named IF 4, An A+ student gets 100% scholarship and non A+ gets 50% scholarship, the following table contains the names of students from 2024 class. Use IF function to calculate the scholarships' amounts each of them will get.</t>
  </si>
  <si>
    <t>An A+ student gets 100% scholarship and non A+ gets 50% scholarship as shown in the table below:</t>
  </si>
  <si>
    <t>A+</t>
  </si>
  <si>
    <t>A-</t>
  </si>
  <si>
    <t>The following table contains the names of students from 2024 class.</t>
  </si>
  <si>
    <t>Use IF function to calculate the scholarships' amounts each of them will get</t>
  </si>
  <si>
    <t>GPA</t>
  </si>
  <si>
    <t>Tuition</t>
  </si>
  <si>
    <t>Scholarship</t>
  </si>
  <si>
    <t>Sam</t>
  </si>
  <si>
    <t>Ari</t>
  </si>
  <si>
    <t>Xena</t>
  </si>
  <si>
    <t>Gabe</t>
  </si>
  <si>
    <t>Daniela</t>
  </si>
  <si>
    <t>Rotem</t>
  </si>
  <si>
    <t>13) In excel file named Math 1, Use the following guidelines to calculate the statements given the file.</t>
  </si>
  <si>
    <t>In this module, we will focus on learning  how to make basic arithmetic operations using excel</t>
  </si>
  <si>
    <t>Use the following guidelines to calculate the statements below:</t>
  </si>
  <si>
    <t>=</t>
  </si>
  <si>
    <t>equals, use = sign before the formula to calculate a formula</t>
  </si>
  <si>
    <t>+</t>
  </si>
  <si>
    <t>plus</t>
  </si>
  <si>
    <t>-</t>
  </si>
  <si>
    <t>minus</t>
  </si>
  <si>
    <t>/</t>
  </si>
  <si>
    <t>divide</t>
  </si>
  <si>
    <t>*</t>
  </si>
  <si>
    <t>multiply</t>
  </si>
  <si>
    <t>%</t>
  </si>
  <si>
    <t>percentage sign (will divide the number by 100 if added after a value)</t>
  </si>
  <si>
    <t>Arithmertics</t>
  </si>
  <si>
    <t>Plus</t>
  </si>
  <si>
    <t>Minus</t>
  </si>
  <si>
    <t>Times</t>
  </si>
  <si>
    <t>Divided by</t>
  </si>
  <si>
    <t>Percentages using division of numbers</t>
  </si>
  <si>
    <t>Out of</t>
  </si>
  <si>
    <t>Calculate percentage of change</t>
  </si>
  <si>
    <t>Stock</t>
  </si>
  <si>
    <t>Price 2015</t>
  </si>
  <si>
    <t>Price 2016</t>
  </si>
  <si>
    <t>Year over Year % change</t>
  </si>
  <si>
    <t>Stock A</t>
  </si>
  <si>
    <t>Stock B</t>
  </si>
  <si>
    <t>14) In excel file named MAX MIN 1, Use max, min and average formulas to answer all the following questions given in the file.</t>
  </si>
  <si>
    <t>MAX, MIN and Average</t>
  </si>
  <si>
    <t>Sumo wrestlers contest - Names and Weights</t>
  </si>
  <si>
    <t>Use max, min and average formulas to answer the following questions.</t>
  </si>
  <si>
    <t>Ishaymoto</t>
  </si>
  <si>
    <t>Solomoto</t>
  </si>
  <si>
    <t>Greenko</t>
  </si>
  <si>
    <t>Dinamito</t>
  </si>
  <si>
    <t>Shlomtzi</t>
  </si>
  <si>
    <t>Oveidyudo</t>
  </si>
  <si>
    <t>What is the maximum weight of a wrestler?</t>
  </si>
  <si>
    <t>What is the minimum weight of a wrestler?</t>
  </si>
  <si>
    <t>What is the average between the maximum and the minimum? (mid range)</t>
  </si>
  <si>
    <t>15) In the file named MAX MIN 2, The following table contains details about the scores of 4 students in a driving theory test. If a student fails at least one test - she or he needs to retake the course. Use IF and MAX/MIN to check if a student passed the test.</t>
  </si>
  <si>
    <t>The following table contains details about the scores of 4 students in a driving theory test. If a student fails at least one test - she or he needs to retake the course.</t>
  </si>
  <si>
    <t>Use IF and MAX/MIN to check if a student passed the test</t>
  </si>
  <si>
    <t>1. if the lowest score is lower than 50 - return "fail"</t>
  </si>
  <si>
    <t>2. else - return "pass"</t>
  </si>
  <si>
    <t>Test 1</t>
  </si>
  <si>
    <t>Test 2</t>
  </si>
  <si>
    <t>Test 3</t>
  </si>
  <si>
    <t>Test 4</t>
  </si>
  <si>
    <t>Johnny</t>
  </si>
  <si>
    <t>Georgy</t>
  </si>
  <si>
    <t>Ofri</t>
  </si>
  <si>
    <t>16) In the file named MAX MIN 3, IF at least one student got 99 points or more in a test - the test considered easy, Use MAX and IF to create a logic that checks if the test was "Easy" or not.</t>
  </si>
  <si>
    <t xml:space="preserve">IF at least one student got 99 points or more in a test - the test considered easy, </t>
  </si>
  <si>
    <t>Use MAX and IF to create a logic that checks if the test was "Easy" or not</t>
  </si>
  <si>
    <t>Johny</t>
  </si>
  <si>
    <t>Lev</t>
  </si>
  <si>
    <t>Yoav</t>
  </si>
  <si>
    <t>Chen</t>
  </si>
  <si>
    <t>17) In the file named Nested IF 1, The school decided to use the following grade system: a. Grade higher or equal to 80 - Excellent b. Grade higher or equal to 60 but lower than 80 – Good c. Grade lower than 60 - Failed Complete all the task given in the file.</t>
  </si>
  <si>
    <t>The school decided to use the following grade system:</t>
  </si>
  <si>
    <t>Grade higher or equal to 80 - Excellent</t>
  </si>
  <si>
    <t>Grade higher or equal to 60 but lower than 80 - Good</t>
  </si>
  <si>
    <t>Grade lower than 60 - Failed</t>
  </si>
  <si>
    <t>Complete the following:</t>
  </si>
  <si>
    <t>Student name</t>
  </si>
  <si>
    <t>Failed/Good/Excellent</t>
  </si>
  <si>
    <t>John</t>
  </si>
  <si>
    <t>Sarah</t>
  </si>
  <si>
    <t>Michael</t>
  </si>
  <si>
    <t>Deborah</t>
  </si>
  <si>
    <t>18) In the file named SUM 1, The following table includes ABC company's revenue by month. The company's CFO asked you to use SUM formula to calculate the total revenue for the year.</t>
  </si>
  <si>
    <t>The following table includes ABC company's revenue by month.</t>
  </si>
  <si>
    <t>The company's CFO asked you to use SUM formula to calculate the total revenue for the year.</t>
  </si>
  <si>
    <t>Revenue in $MM</t>
  </si>
  <si>
    <t>January</t>
  </si>
  <si>
    <t>February</t>
  </si>
  <si>
    <t>March</t>
  </si>
  <si>
    <t>April</t>
  </si>
  <si>
    <t>May</t>
  </si>
  <si>
    <t>June</t>
  </si>
  <si>
    <t>July</t>
  </si>
  <si>
    <t>August</t>
  </si>
  <si>
    <t>September</t>
  </si>
  <si>
    <t>October</t>
  </si>
  <si>
    <t>November</t>
  </si>
  <si>
    <t>December</t>
  </si>
  <si>
    <t>Total Year</t>
  </si>
  <si>
    <t>&lt;&lt;Enter value here</t>
  </si>
  <si>
    <t>19) In the file named SUM 2, The following table represents daily costs by 20) day for the first quarter of 2015. Calculate the total costs at the bottom of the table. Hint: to save time, use sum shortcuts.</t>
  </si>
  <si>
    <t>The following table represents daily costs by day for the first quarter of 2015</t>
  </si>
  <si>
    <t>Calculate the total costs at the bottom of the table. Hint: to save time, use sum shortcuts.</t>
  </si>
  <si>
    <t>Date</t>
  </si>
  <si>
    <t>Costs</t>
  </si>
  <si>
    <t>21) In the file named SUM 3, Find the number of residents for each of the following groups from the table below, complete all the question in the file.</t>
  </si>
  <si>
    <t>Find the number of residents for each of the following groups from the table below:</t>
  </si>
  <si>
    <t>Age group</t>
  </si>
  <si>
    <t>0-19</t>
  </si>
  <si>
    <t>Number of residents</t>
  </si>
  <si>
    <t>25-49</t>
  </si>
  <si>
    <t>50-75+</t>
  </si>
  <si>
    <t>What is the total number of residents in region 3 (green) for all group ages?</t>
  </si>
  <si>
    <t>What is the total number of users in regions 1-20 for all groups?</t>
  </si>
  <si>
    <t>Total number of residents of ages 0-19 and 50-75+</t>
  </si>
  <si>
    <t>Option 1:</t>
  </si>
  <si>
    <t>Option 2:</t>
  </si>
  <si>
    <t>City</t>
  </si>
  <si>
    <t>Region</t>
  </si>
  <si>
    <t>Tel Aviv</t>
  </si>
  <si>
    <t>Region 1</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</si>
  <si>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</si>
  <si>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</si>
  <si>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</si>
  <si>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</si>
  <si>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</si>
  <si>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</si>
  <si>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</si>
  <si>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</si>
  <si>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</si>
  <si>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</si>
  <si>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</si>
  <si>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</si>
  <si>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</si>
  <si>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</si>
  <si>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</si>
  <si>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</si>
  <si>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</si>
  <si>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</si>
  <si>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</si>
  <si>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</si>
  <si>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</si>
  <si>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</si>
  <si>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</si>
  <si>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</si>
  <si>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</si>
  <si>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</si>
  <si>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</si>
  <si>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</si>
  <si>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</si>
  <si>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</si>
  <si>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</si>
  <si>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</si>
  <si>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</si>
  <si>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</si>
  <si>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</si>
  <si>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</si>
  <si>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</si>
  <si>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</si>
  <si>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</si>
  <si>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</si>
  <si>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</si>
  <si>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</si>
  <si>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</si>
  <si>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</si>
  <si>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</si>
  <si>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</si>
  <si>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</si>
  <si>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</si>
  <si>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</si>
  <si>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</si>
  <si>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</si>
  <si>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</si>
  <si>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</si>
  <si>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</si>
  <si>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</si>
  <si>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</si>
  <si>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</si>
  <si>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</si>
  <si>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</si>
  <si>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Region 61</t>
  </si>
  <si>
    <t>Region 62</t>
  </si>
  <si>
    <t>Region 63</t>
  </si>
  <si>
    <t>Region 64</t>
  </si>
  <si>
    <t>Region 65</t>
  </si>
  <si>
    <t>Region 66</t>
  </si>
  <si>
    <t>Region 67</t>
  </si>
  <si>
    <t>Region 68</t>
  </si>
  <si>
    <t>Region 69</t>
  </si>
  <si>
    <t>Region 70</t>
  </si>
  <si>
    <t>Region 71</t>
  </si>
  <si>
    <t>Region 72</t>
  </si>
  <si>
    <t>Region 73</t>
  </si>
  <si>
    <t>Region 74</t>
  </si>
  <si>
    <t>Region 75</t>
  </si>
  <si>
    <t>Region 76</t>
  </si>
  <si>
    <t>Region 77</t>
  </si>
  <si>
    <t>Region 78</t>
  </si>
  <si>
    <t>Region 79</t>
  </si>
  <si>
    <t>Region 80</t>
  </si>
  <si>
    <t>Region 81</t>
  </si>
  <si>
    <t>Region 82</t>
  </si>
  <si>
    <t>Region 83</t>
  </si>
  <si>
    <t>Region 84</t>
  </si>
  <si>
    <t>Region 85</t>
  </si>
  <si>
    <t>Region 86</t>
  </si>
  <si>
    <t>Region 87</t>
  </si>
  <si>
    <t>Region 88</t>
  </si>
  <si>
    <t>Region 89</t>
  </si>
  <si>
    <t>Region 90</t>
  </si>
  <si>
    <t>Region 91</t>
  </si>
  <si>
    <t>Region 92</t>
  </si>
  <si>
    <t>Region 93</t>
  </si>
  <si>
    <t>Region 94</t>
  </si>
  <si>
    <t>Region 95</t>
  </si>
  <si>
    <t>Region 96</t>
  </si>
  <si>
    <t>Region 97</t>
  </si>
  <si>
    <t>Region 98</t>
  </si>
  <si>
    <t>Region 99</t>
  </si>
  <si>
    <t>Region 100</t>
  </si>
  <si>
    <t>Region 101</t>
  </si>
  <si>
    <t>Region 102</t>
  </si>
  <si>
    <t>Region 103</t>
  </si>
  <si>
    <t>Region 104</t>
  </si>
  <si>
    <t>Region 105</t>
  </si>
  <si>
    <t>Region 106</t>
  </si>
  <si>
    <t>Region 107</t>
  </si>
  <si>
    <t>Region 108</t>
  </si>
  <si>
    <t>Region 109</t>
  </si>
  <si>
    <t>Region 110</t>
  </si>
  <si>
    <t>Region 111</t>
  </si>
  <si>
    <t>Region 112</t>
  </si>
  <si>
    <t>Region 113</t>
  </si>
  <si>
    <t>Region 114</t>
  </si>
  <si>
    <t>Region 115</t>
  </si>
  <si>
    <t>Region 116</t>
  </si>
  <si>
    <t>Region 117</t>
  </si>
  <si>
    <t>Region 118</t>
  </si>
  <si>
    <t>Region 119</t>
  </si>
  <si>
    <t>Region 120</t>
  </si>
  <si>
    <t>Region 121</t>
  </si>
  <si>
    <t>Region 122</t>
  </si>
  <si>
    <t>Region 123</t>
  </si>
  <si>
    <t>Region 124</t>
  </si>
  <si>
    <t>Region 125</t>
  </si>
  <si>
    <t>Region 126</t>
  </si>
  <si>
    <t>Region 127</t>
  </si>
  <si>
    <t>Region 128</t>
  </si>
  <si>
    <t>Region 129</t>
  </si>
  <si>
    <t>Region 130</t>
  </si>
  <si>
    <t>Region 131</t>
  </si>
  <si>
    <t>Region 132</t>
  </si>
  <si>
    <t>Region 133</t>
  </si>
  <si>
    <t>Region 134</t>
  </si>
  <si>
    <t>Region 135</t>
  </si>
  <si>
    <t>Region 136</t>
  </si>
  <si>
    <t>Region 137</t>
  </si>
  <si>
    <t>Region 138</t>
  </si>
  <si>
    <t>Region 139</t>
  </si>
  <si>
    <t>Region 140</t>
  </si>
  <si>
    <t>Region 141</t>
  </si>
  <si>
    <t>Region 142</t>
  </si>
  <si>
    <t>Region 143</t>
  </si>
  <si>
    <t>Region 144</t>
  </si>
  <si>
    <t>Region 145</t>
  </si>
  <si>
    <t>Region 146</t>
  </si>
  <si>
    <t>Region 147</t>
  </si>
  <si>
    <t>Region 148</t>
  </si>
  <si>
    <t>Region 149</t>
  </si>
  <si>
    <t>Region 150</t>
  </si>
  <si>
    <t>Region 151</t>
  </si>
  <si>
    <t>Region 152</t>
  </si>
  <si>
    <t>Region 153</t>
  </si>
  <si>
    <t>Region 154</t>
  </si>
  <si>
    <t>Region 155</t>
  </si>
  <si>
    <t>Region 156</t>
  </si>
  <si>
    <t>Region 157</t>
  </si>
  <si>
    <t>Region 158</t>
  </si>
  <si>
    <t>Client #</t>
  </si>
  <si>
    <t>Balance</t>
  </si>
  <si>
    <t>VIP Account?</t>
  </si>
  <si>
    <t>Total commisions</t>
  </si>
  <si>
    <t>Yes</t>
  </si>
  <si>
    <t>No</t>
  </si>
  <si>
    <t>SUMIF</t>
  </si>
  <si>
    <t>What is the total amout of money in VIP Accounts?</t>
  </si>
  <si>
    <t>What is the total amout of money in Non-VIP Accounts?</t>
  </si>
  <si>
    <t>What is the total amount of commisions from accounts that are over $10,000?</t>
  </si>
  <si>
    <t>What is the total amout of money in accounts over $10,000?</t>
  </si>
  <si>
    <t>What is the total amout of money in accounts under $9,500?</t>
  </si>
  <si>
    <t>Data - SUMIF</t>
  </si>
  <si>
    <t>Sport</t>
  </si>
  <si>
    <t>Country</t>
  </si>
  <si>
    <t>Medals Won</t>
  </si>
  <si>
    <t>Michael Phelps</t>
  </si>
  <si>
    <t>Swimming</t>
  </si>
  <si>
    <t>USA</t>
  </si>
  <si>
    <t>Usain Bolt</t>
  </si>
  <si>
    <t>Athletics</t>
  </si>
  <si>
    <t>Jamaica</t>
  </si>
  <si>
    <t>Simone Biles</t>
  </si>
  <si>
    <t>Gymnastics</t>
  </si>
  <si>
    <t>Katarina Witt</t>
  </si>
  <si>
    <t>Figure Skating</t>
  </si>
  <si>
    <t>Germany</t>
  </si>
  <si>
    <t>Nadia Comaneci</t>
  </si>
  <si>
    <t>Romania</t>
  </si>
  <si>
    <t>Carl Lewis</t>
  </si>
  <si>
    <t>Larisa Latynina</t>
  </si>
  <si>
    <t>USSR</t>
  </si>
  <si>
    <t>Mark Spitz</t>
  </si>
  <si>
    <t>Sonja Henie</t>
  </si>
  <si>
    <t>Norway</t>
  </si>
  <si>
    <t>Yelena Isinbayeva</t>
  </si>
  <si>
    <t>Russia</t>
  </si>
  <si>
    <t>Questions</t>
  </si>
  <si>
    <t>See Answers Tab</t>
  </si>
  <si>
    <t>What is the total number of medals won by athletes from USA?</t>
  </si>
  <si>
    <t>Result:</t>
  </si>
  <si>
    <t>What is the total number of medals won by figure skaters?</t>
  </si>
  <si>
    <t>What is the total number of medals won by both USA and Jamaica? (Hard)</t>
  </si>
  <si>
    <t>24) In the file named VLOOKUP APPROXIMATE MATCH, Retrieve the GBP: USD exchange rate for the following dates using VLOOKUP function, from the table in columns G-H. In case there is no exchange rate for a certain date entry, return the the last known rate for that day.</t>
  </si>
  <si>
    <t>Retrieve the GBP:USD exchange rate for the following dates using VLOOKUP function, from the table in columns G-H.</t>
  </si>
  <si>
    <t>In case there is no exchange rate for a certain date entry, return the the last known rate for that day.</t>
  </si>
  <si>
    <t>GBP:USD Exchange rates:</t>
  </si>
  <si>
    <t>Exchange Rate</t>
  </si>
  <si>
    <t xml:space="preserve">$1.3671 </t>
  </si>
  <si>
    <t xml:space="preserve">$1.3569 </t>
  </si>
  <si>
    <t xml:space="preserve">$1.3624 </t>
  </si>
  <si>
    <t xml:space="preserve">$1.3607 </t>
  </si>
  <si>
    <t xml:space="preserve">$1.3563 </t>
  </si>
  <si>
    <t xml:space="preserve">$1.3514 </t>
  </si>
  <si>
    <t xml:space="preserve">$1.3663 </t>
  </si>
  <si>
    <t xml:space="preserve">$1.3637 </t>
  </si>
  <si>
    <t xml:space="preserve">$1.3687 </t>
  </si>
  <si>
    <t xml:space="preserve">$1.3586 </t>
  </si>
  <si>
    <t xml:space="preserve">$1.3584 </t>
  </si>
  <si>
    <t xml:space="preserve">$1.3628 </t>
  </si>
  <si>
    <t xml:space="preserve">$1.3653 </t>
  </si>
  <si>
    <t xml:space="preserve">$1.3732 </t>
  </si>
  <si>
    <t xml:space="preserve">$1.3684 </t>
  </si>
  <si>
    <t xml:space="preserve">$1.3674 </t>
  </si>
  <si>
    <t xml:space="preserve">$1.3733 </t>
  </si>
  <si>
    <t xml:space="preserve">$1.3686 </t>
  </si>
  <si>
    <t xml:space="preserve">$1.3718 </t>
  </si>
  <si>
    <t xml:space="preserve">$1.3702 </t>
  </si>
  <si>
    <t>25) In the file named VLOOKUP 1, Below is a list of the employees who Page 4 of 28 work in your company: Answer all the question given in the file using vlookup function.</t>
  </si>
  <si>
    <t>Below is a list of the employees who work in your company:</t>
  </si>
  <si>
    <t>Location</t>
  </si>
  <si>
    <t>Garry Manship</t>
  </si>
  <si>
    <t>Hong Kong</t>
  </si>
  <si>
    <t>William Johnson</t>
  </si>
  <si>
    <t>Berlin</t>
  </si>
  <si>
    <t>Thomas Bettle</t>
  </si>
  <si>
    <t>Bangkok</t>
  </si>
  <si>
    <t>Ian Nash</t>
  </si>
  <si>
    <t>Cairo</t>
  </si>
  <si>
    <t>Margaret Turley</t>
  </si>
  <si>
    <t>Shanghai</t>
  </si>
  <si>
    <t>Michael Kaye</t>
  </si>
  <si>
    <t>Capetown</t>
  </si>
  <si>
    <t>Paul Bell</t>
  </si>
  <si>
    <t>Thomas Davies</t>
  </si>
  <si>
    <t>Eric Green</t>
  </si>
  <si>
    <t>Warsaw</t>
  </si>
  <si>
    <t>Williamr Black</t>
  </si>
  <si>
    <t>Estelle Cormack</t>
  </si>
  <si>
    <t>Christopher Fallon</t>
  </si>
  <si>
    <t>Delhi</t>
  </si>
  <si>
    <t>What is the name of Employee ID 58369?</t>
  </si>
  <si>
    <t>What's the age of Estelle Cormack?</t>
  </si>
  <si>
    <t>Return the Location of the following employees:</t>
  </si>
  <si>
    <t>Find the Salary of the following employees:</t>
  </si>
  <si>
    <t>Johnny Slash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</si>
</sst>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charset val="177"/>
      <scheme val="minor"/>
    </font>
    <font>
      <sz val="11"/>
      <color rgb="FF000000"/>
      <name val="Calibri"/>
      <family val="2"/>
      <scheme val="minor"/>
    </font>
    <font>
      <b/>
      <sz val="11"/>
      <color rgb="FF000000"/>
      <name val="Calibri"/>
      <family val="2"/>
      <scheme val="minor"/>
    </font>
    <font>
      <b/>
      <sz val="11"/>
      <name val="Calibri"/>
      <family val="2"/>
      <charset val="177"/>
      <scheme val="minor"/>
    </font>
    <font>
      <sz val="11"/>
      <name val="Arial"/>
      <family val="2"/>
    </font>
    <font>
      <sz val="11"/>
      <name val="Calibri"/>
      <family val="2"/>
      <charset val="177"/>
      <scheme val="minor"/>
    </font>
    <font>
      <b/>
      <u/>
      <sz val="11"/>
      <name val="Calibri"/>
      <family val="2"/>
      <charset val="177"/>
      <scheme val="minor"/>
    </font>
    <font>
      <b/>
      <sz val="11"/>
      <name val="Calibri"/>
      <family val="2"/>
      <scheme val="minor"/>
    </font>
    <font>
      <sz val="11"/>
      <name val="Calibri"/>
      <family val="2"/>
      <scheme val="minor"/>
    </font>
    <font>
      <b/>
      <sz val="9"/>
      <name val="Calibri"/>
      <family val="2"/>
      <scheme val="minor"/>
    </font>
    <font>
      <sz val="9"/>
      <name val="Calibri"/>
      <family val="2"/>
      <scheme val="minor"/>
    </font>
    <font>
      <b/>
      <u/>
      <sz val="11"/>
      <name val="Calibri"/>
      <family val="2"/>
      <scheme val="minor"/>
    </font>
    <font>
      <sz val="11"/>
      <color rgb="FF0E101A"/>
      <name val="Calibri"/>
      <family val="2"/>
      <scheme val="minor"/>
    </font>
    <font>
      <u/>
      <sz val="11"/>
      <color rgb="FF000000"/>
      <name val="Calibri"/>
      <family val="2"/>
      <scheme val="minor"/>
    </font>
    <font>
      <b/>
      <u/>
      <sz val="11"/>
      <color rgb="FF000000"/>
      <name val="Calibri"/>
      <family val="2"/>
      <scheme val="minor"/>
    </font>
    <font>
      <b/>
      <sz val="11"/>
      <color rgb="FF0E101A"/>
      <name val="Calibri"/>
      <family val="2"/>
      <scheme val="minor"/>
    </font>
    <font>
      <u/>
      <sz val="11"/>
      <color theme="10"/>
      <name val="Calibri"/>
      <family val="2"/>
      <scheme val="minor"/>
    </font>
    <font>
      <b/>
      <sz val="10"/>
      <color rgb="FF000000"/>
      <name val="Arial"/>
      <family val="2"/>
    </font>
    <font>
      <sz val="11"/>
      <color rgb="FF000000"/>
      <name val="Roboto"/>
    </font>
    <font>
      <b/>
      <sz val="11"/>
      <color rgb="FF000000"/>
      <name val="Calibri"/>
      <family val="2"/>
      <charset val="177"/>
      <scheme val="minor"/>
    </font>
    <font>
      <sz val="10"/>
      <color rgb="FF000000"/>
      <name val="Calibri"/>
      <family val="2"/>
      <scheme val="minor"/>
    </font>
    <font>
      <b/>
      <sz val="10"/>
      <color rgb="FF000000"/>
      <name val="Calibri"/>
      <family val="2"/>
      <scheme val="minor"/>
    </font>
    <font>
      <b/>
      <u/>
      <sz val="10"/>
      <color rgb="FF374151"/>
      <name val="Calibri"/>
      <family val="2"/>
      <scheme val="minor"/>
    </font>
    <font>
      <sz val="10"/>
      <color rgb="FF374151"/>
      <name val="Calibri"/>
      <family val="2"/>
      <scheme val="minor"/>
    </font>
    <font>
      <b/>
      <u/>
      <sz val="10"/>
      <name val="Calibri"/>
      <family val="2"/>
      <scheme val="minor"/>
    </font>
    <font>
      <b/>
      <sz val="10"/>
      <name val="Calibri"/>
      <family val="2"/>
      <scheme val="minor"/>
    </font>
    <font>
      <sz val="10"/>
      <name val="Calibri"/>
      <family val="2"/>
      <scheme val="minor"/>
    </font>
  </fonts>
  <fills count="15">
    <fill>
      <patternFill patternType="none"/>
    </fill>
    <fill>
      <patternFill patternType="gray125"/>
    </fill>
    <fill>
      <patternFill patternType="solid">
        <fgColor rgb="FFDEEAF6"/>
        <bgColor rgb="FFDEEAF6"/>
      </patternFill>
    </fill>
    <fill>
      <patternFill patternType="solid">
        <fgColor rgb="FFFBE4D5"/>
        <bgColor rgb="FFFBE4D5"/>
      </patternFill>
    </fill>
    <fill>
      <patternFill patternType="solid">
        <fgColor rgb="FFE2EFD9"/>
        <bgColor rgb="FFE2EFD9"/>
      </patternFill>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
      <patternFill patternType="solid">
        <fgColor rgb="FFECECEC"/>
        <bgColor rgb="FFECECEC"/>
      </patternFill>
    </fill>
    <fill>
      <patternFill patternType="solid">
        <fgColor rgb="FFFFFF00"/>
        <bgColor rgb="FF000000"/>
      </patternFill>
    </fill>
    <fill>
      <patternFill patternType="solid">
        <fgColor rgb="FFFFFF00"/>
        <bgColor indexed="64"/>
      </patternFill>
    </fill>
    <fill>
      <patternFill patternType="solid">
        <fgColor rgb="FFC5E0B3"/>
        <bgColor rgb="FFC5E0B3"/>
      </patternFill>
    </fill>
    <fill>
      <patternFill patternType="solid">
        <fgColor rgb="FFC0C0C0"/>
        <bgColor rgb="FFC0C0C0"/>
      </patternFill>
    </fill>
    <fill>
      <patternFill patternType="solid">
        <fgColor rgb="FFBFBFBF"/>
        <bgColor rgb="FFBFBFBF"/>
      </patternFill>
    </fill>
    <fill>
      <patternFill patternType="solid">
        <fgColor rgb="FF92D050"/>
        <bgColor rgb="FF92D05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
      <left/>
      <right style="thin">
        <color rgb="FF000000"/>
      </right>
      <top/>
      <bottom/>
      <diagonal/>
    </border>
    <border>
      <left style="medium">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3">
    <xf numFmtId="0" fontId="0" fillId="0" borderId="0"/>
    <xf numFmtId="9" fontId="1" fillId="0" borderId="0" applyFont="0" applyFill="0" applyBorder="0" applyAlignment="0" applyProtection="0"/>
    <xf numFmtId="0" fontId="19" fillId="0" borderId="0" applyNumberFormat="0" applyFill="0" applyBorder="0" applyAlignment="0" applyProtection="0"/>
  </cellStyleXfs>
  <cellXfs count="119">
    <xf numFmtId="0" fontId="0" fillId="0" borderId="0" xfId="0"/>
    <xf numFmtId="0" fontId="3" fillId="0" borderId="0" xfId="0" applyFont="1"/>
    <xf numFmtId="0" fontId="4" fillId="0" borderId="1" xfId="0" applyFont="1" applyBorder="1"/>
    <xf numFmtId="0" fontId="4" fillId="2" borderId="1" xfId="0" applyFont="1" applyFill="1" applyBorder="1"/>
    <xf numFmtId="0" fontId="4" fillId="3" borderId="1" xfId="0" applyFont="1" applyFill="1" applyBorder="1"/>
    <xf numFmtId="0" fontId="4" fillId="4" borderId="1" xfId="0" applyFont="1" applyFill="1" applyBorder="1"/>
    <xf numFmtId="0" fontId="5" fillId="0" borderId="0" xfId="0" applyFont="1"/>
    <xf numFmtId="0" fontId="4" fillId="0" borderId="0" xfId="0" applyFont="1"/>
    <xf numFmtId="0" fontId="4" fillId="5" borderId="2" xfId="0" applyFont="1" applyFill="1" applyBorder="1"/>
    <xf numFmtId="0" fontId="5" fillId="5" borderId="2" xfId="0" applyFont="1" applyFill="1" applyBorder="1"/>
    <xf numFmtId="17" fontId="4" fillId="0" borderId="0" xfId="0" applyNumberFormat="1" applyFont="1"/>
    <xf numFmtId="0" fontId="4" fillId="5" borderId="0" xfId="0" applyFont="1" applyFill="1"/>
    <xf numFmtId="0" fontId="2" fillId="0" borderId="0" xfId="0" applyFont="1" applyAlignment="1">
      <alignment wrapText="1"/>
    </xf>
    <xf numFmtId="0" fontId="6" fillId="0" borderId="0" xfId="0" applyFont="1"/>
    <xf numFmtId="0" fontId="7" fillId="0" borderId="0" xfId="0" applyFont="1"/>
    <xf numFmtId="0" fontId="8" fillId="0" borderId="0" xfId="0" applyFont="1"/>
    <xf numFmtId="0" fontId="8" fillId="0" borderId="1" xfId="0" applyFont="1" applyBorder="1"/>
    <xf numFmtId="0" fontId="9" fillId="6" borderId="1" xfId="0" applyFont="1" applyFill="1" applyBorder="1"/>
    <xf numFmtId="0" fontId="8" fillId="6" borderId="1" xfId="0" applyFont="1" applyFill="1" applyBorder="1"/>
    <xf numFmtId="0" fontId="8" fillId="5" borderId="2" xfId="0" applyFont="1" applyFill="1" applyBorder="1"/>
    <xf numFmtId="0" fontId="10" fillId="0" borderId="0" xfId="0" applyFont="1"/>
    <xf numFmtId="0" fontId="11" fillId="0" borderId="0" xfId="0" applyFont="1"/>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4" fontId="13" fillId="7" borderId="1" xfId="0" applyNumberFormat="1" applyFont="1" applyFill="1" applyBorder="1" applyAlignment="1">
      <alignment vertical="center" wrapText="1"/>
    </xf>
    <xf numFmtId="0" fontId="13" fillId="7" borderId="1" xfId="0" applyFont="1" applyFill="1" applyBorder="1" applyAlignment="1">
      <alignment vertical="center" wrapText="1"/>
    </xf>
    <xf numFmtId="0" fontId="11" fillId="5" borderId="2" xfId="0" applyFont="1" applyFill="1" applyBorder="1"/>
    <xf numFmtId="0" fontId="2" fillId="0" borderId="0" xfId="0" applyFont="1"/>
    <xf numFmtId="0" fontId="8" fillId="8" borderId="3" xfId="0" applyFont="1" applyFill="1" applyBorder="1"/>
    <xf numFmtId="0" fontId="8" fillId="8" borderId="4" xfId="0" applyFont="1" applyFill="1" applyBorder="1"/>
    <xf numFmtId="0" fontId="8" fillId="8" borderId="5" xfId="0" applyFont="1" applyFill="1" applyBorder="1"/>
    <xf numFmtId="0" fontId="14" fillId="0" borderId="0" xfId="0" applyFont="1"/>
    <xf numFmtId="0" fontId="10" fillId="0" borderId="6" xfId="0" applyFont="1" applyBorder="1" applyAlignment="1">
      <alignment horizontal="center" vertical="center"/>
    </xf>
    <xf numFmtId="0" fontId="11" fillId="0" borderId="6" xfId="0" applyFont="1" applyBorder="1" applyAlignment="1">
      <alignment horizontal="center" vertical="center"/>
    </xf>
    <xf numFmtId="0" fontId="11" fillId="9" borderId="6" xfId="0" applyFont="1" applyFill="1" applyBorder="1"/>
    <xf numFmtId="0" fontId="15" fillId="0" borderId="0" xfId="0" applyFont="1"/>
    <xf numFmtId="0" fontId="5" fillId="0" borderId="1" xfId="0" applyFont="1" applyBorder="1"/>
    <xf numFmtId="0" fontId="4" fillId="5" borderId="1" xfId="0" applyFont="1" applyFill="1" applyBorder="1"/>
    <xf numFmtId="0" fontId="16" fillId="0" borderId="0" xfId="0" applyFont="1"/>
    <xf numFmtId="0" fontId="17" fillId="0" borderId="0" xfId="0" applyFont="1"/>
    <xf numFmtId="0" fontId="4" fillId="0" borderId="0" xfId="0" applyFont="1" applyAlignment="1">
      <alignment horizontal="left"/>
    </xf>
    <xf numFmtId="0" fontId="18" fillId="0" borderId="0" xfId="0" applyFont="1"/>
    <xf numFmtId="0" fontId="17" fillId="0" borderId="1" xfId="0" applyFont="1" applyBorder="1"/>
    <xf numFmtId="0" fontId="17" fillId="0" borderId="7" xfId="0" applyFont="1" applyBorder="1"/>
    <xf numFmtId="0" fontId="4" fillId="0" borderId="7" xfId="0" applyFont="1" applyBorder="1"/>
    <xf numFmtId="0" fontId="5" fillId="10" borderId="8" xfId="0" applyFont="1" applyFill="1" applyBorder="1"/>
    <xf numFmtId="9" fontId="4" fillId="0" borderId="1" xfId="0" applyNumberFormat="1" applyFont="1" applyBorder="1"/>
    <xf numFmtId="0" fontId="5" fillId="0" borderId="7" xfId="0" applyFont="1" applyBorder="1"/>
    <xf numFmtId="0" fontId="5" fillId="0" borderId="6" xfId="0" applyFont="1" applyBorder="1"/>
    <xf numFmtId="0" fontId="0" fillId="0" borderId="6" xfId="0" applyBorder="1"/>
    <xf numFmtId="3" fontId="4" fillId="0" borderId="6" xfId="0" applyNumberFormat="1" applyFont="1" applyBorder="1"/>
    <xf numFmtId="0" fontId="4" fillId="5" borderId="6" xfId="0" applyFont="1" applyFill="1" applyBorder="1"/>
    <xf numFmtId="0" fontId="0" fillId="10" borderId="6" xfId="0" applyFill="1" applyBorder="1"/>
    <xf numFmtId="9" fontId="4" fillId="5" borderId="0" xfId="1" applyFont="1" applyFill="1"/>
    <xf numFmtId="0" fontId="3" fillId="0" borderId="0" xfId="0" applyFont="1" applyAlignment="1">
      <alignment horizontal="center"/>
    </xf>
    <xf numFmtId="0" fontId="17" fillId="0" borderId="0" xfId="0" applyFont="1" applyAlignment="1">
      <alignment horizontal="center"/>
    </xf>
    <xf numFmtId="0" fontId="17" fillId="0" borderId="9" xfId="0" applyFont="1" applyBorder="1"/>
    <xf numFmtId="0" fontId="7" fillId="0" borderId="9" xfId="0" applyFont="1" applyBorder="1"/>
    <xf numFmtId="0" fontId="4" fillId="0" borderId="0" xfId="0" applyFont="1" applyAlignment="1">
      <alignment horizontal="center"/>
    </xf>
    <xf numFmtId="0" fontId="5" fillId="0" borderId="0" xfId="0" applyFont="1" applyAlignment="1">
      <alignment horizontal="center"/>
    </xf>
    <xf numFmtId="1" fontId="4" fillId="5" borderId="2" xfId="0" applyNumberFormat="1" applyFont="1" applyFill="1" applyBorder="1"/>
    <xf numFmtId="0" fontId="3" fillId="0" borderId="6" xfId="0" applyFont="1" applyBorder="1"/>
    <xf numFmtId="0" fontId="4" fillId="0" borderId="6" xfId="0" applyFont="1" applyBorder="1"/>
    <xf numFmtId="0" fontId="3" fillId="9" borderId="6" xfId="0" applyFont="1" applyFill="1" applyBorder="1"/>
    <xf numFmtId="0" fontId="5" fillId="11" borderId="1" xfId="0" applyFont="1" applyFill="1" applyBorder="1"/>
    <xf numFmtId="14" fontId="4" fillId="0" borderId="1" xfId="0" applyNumberFormat="1" applyFont="1" applyBorder="1"/>
    <xf numFmtId="0" fontId="4" fillId="9" borderId="1" xfId="0" applyFont="1" applyFill="1" applyBorder="1"/>
    <xf numFmtId="4" fontId="3" fillId="0" borderId="0" xfId="0" applyNumberFormat="1" applyFont="1"/>
    <xf numFmtId="0" fontId="20" fillId="12" borderId="1" xfId="0" applyFont="1" applyFill="1" applyBorder="1" applyAlignment="1">
      <alignment horizontal="center"/>
    </xf>
    <xf numFmtId="0" fontId="20" fillId="0" borderId="0" xfId="0" applyFont="1" applyAlignment="1">
      <alignment horizontal="right"/>
    </xf>
    <xf numFmtId="0" fontId="21" fillId="0" borderId="0" xfId="0" applyFont="1"/>
    <xf numFmtId="0" fontId="20" fillId="0" borderId="1" xfId="0" applyFont="1" applyBorder="1" applyAlignment="1">
      <alignment horizontal="center"/>
    </xf>
    <xf numFmtId="3" fontId="20" fillId="5" borderId="1" xfId="0" applyNumberFormat="1" applyFont="1" applyFill="1" applyBorder="1" applyAlignment="1">
      <alignment horizontal="center"/>
    </xf>
    <xf numFmtId="3" fontId="5" fillId="5" borderId="1" xfId="0" applyNumberFormat="1" applyFont="1" applyFill="1" applyBorder="1" applyAlignment="1">
      <alignment horizontal="center"/>
    </xf>
    <xf numFmtId="0" fontId="20" fillId="5" borderId="1" xfId="0" applyFont="1" applyFill="1" applyBorder="1" applyAlignment="1">
      <alignment horizontal="center"/>
    </xf>
    <xf numFmtId="0" fontId="5" fillId="5" borderId="1" xfId="0" applyFont="1" applyFill="1" applyBorder="1" applyAlignment="1">
      <alignment horizontal="center"/>
    </xf>
    <xf numFmtId="3" fontId="4" fillId="9" borderId="1" xfId="0" applyNumberFormat="1" applyFont="1" applyFill="1" applyBorder="1"/>
    <xf numFmtId="3" fontId="4" fillId="5" borderId="1" xfId="0" applyNumberFormat="1" applyFont="1" applyFill="1" applyBorder="1"/>
    <xf numFmtId="3" fontId="4" fillId="5" borderId="6" xfId="0" applyNumberFormat="1" applyFont="1" applyFill="1" applyBorder="1"/>
    <xf numFmtId="3" fontId="4" fillId="9" borderId="6" xfId="0" applyNumberFormat="1" applyFont="1" applyFill="1" applyBorder="1"/>
    <xf numFmtId="0" fontId="4" fillId="9" borderId="12" xfId="0" applyFont="1" applyFill="1" applyBorder="1"/>
    <xf numFmtId="0" fontId="23" fillId="0" borderId="0" xfId="0" applyFont="1"/>
    <xf numFmtId="0" fontId="24" fillId="0" borderId="0" xfId="0" applyFont="1"/>
    <xf numFmtId="0" fontId="24" fillId="0" borderId="6" xfId="0" applyFont="1" applyBorder="1"/>
    <xf numFmtId="0" fontId="23" fillId="0" borderId="6" xfId="0" applyFont="1" applyBorder="1"/>
    <xf numFmtId="0" fontId="25" fillId="0" borderId="0" xfId="0" applyFont="1" applyAlignment="1">
      <alignment vertical="center"/>
    </xf>
    <xf numFmtId="0" fontId="19" fillId="0" borderId="0" xfId="2"/>
    <xf numFmtId="0" fontId="26" fillId="0" borderId="0" xfId="0" applyFont="1" applyAlignment="1">
      <alignment vertical="center"/>
    </xf>
    <xf numFmtId="0" fontId="27" fillId="0" borderId="0" xfId="0" applyFont="1"/>
    <xf numFmtId="0" fontId="28" fillId="0" borderId="0" xfId="0" applyFont="1"/>
    <xf numFmtId="0" fontId="29" fillId="9" borderId="6" xfId="0" applyFont="1" applyFill="1" applyBorder="1"/>
    <xf numFmtId="0" fontId="22" fillId="0" borderId="0" xfId="0" applyFont="1" applyAlignment="1">
      <alignment wrapText="1"/>
    </xf>
    <xf numFmtId="14" fontId="3" fillId="0" borderId="0" xfId="0" applyNumberFormat="1" applyFont="1" applyAlignment="1">
      <alignment wrapText="1"/>
    </xf>
    <xf numFmtId="0" fontId="3" fillId="0" borderId="0" xfId="0" applyFont="1" applyAlignment="1">
      <alignment horizontal="left" wrapText="1"/>
    </xf>
    <xf numFmtId="14" fontId="4" fillId="0" borderId="0" xfId="0" applyNumberFormat="1" applyFont="1"/>
    <xf numFmtId="0" fontId="4" fillId="9" borderId="0" xfId="0" applyFont="1" applyFill="1"/>
    <xf numFmtId="0" fontId="5" fillId="14" borderId="1" xfId="0" applyFont="1" applyFill="1" applyBorder="1"/>
    <xf numFmtId="0" fontId="5" fillId="14" borderId="13" xfId="0" applyFont="1" applyFill="1" applyBorder="1"/>
    <xf numFmtId="0" fontId="4" fillId="0" borderId="14" xfId="0" applyFont="1" applyBorder="1" applyAlignment="1">
      <alignment horizontal="left"/>
    </xf>
    <xf numFmtId="0" fontId="4" fillId="0" borderId="15" xfId="0" applyFont="1" applyBorder="1"/>
    <xf numFmtId="0" fontId="4" fillId="0" borderId="15" xfId="0" applyFont="1" applyBorder="1" applyAlignment="1">
      <alignment horizontal="right"/>
    </xf>
    <xf numFmtId="0" fontId="5" fillId="0" borderId="0" xfId="0" applyFont="1" applyAlignment="1">
      <alignment horizontal="right"/>
    </xf>
    <xf numFmtId="0" fontId="5" fillId="0" borderId="13" xfId="0" applyFont="1" applyBorder="1"/>
    <xf numFmtId="0" fontId="4" fillId="5" borderId="15" xfId="0" applyFont="1" applyFill="1" applyBorder="1"/>
    <xf numFmtId="0" fontId="4" fillId="0" borderId="14" xfId="0" applyFont="1" applyBorder="1"/>
    <xf numFmtId="0" fontId="5" fillId="0" borderId="0" xfId="0" applyFont="1"/>
    <xf numFmtId="0" fontId="4" fillId="0" borderId="0" xfId="0" applyFont="1"/>
    <xf numFmtId="0" fontId="2" fillId="0" borderId="0" xfId="0" applyFont="1" applyAlignment="1">
      <alignment horizontal="center" wrapText="1"/>
    </xf>
    <xf numFmtId="0" fontId="3" fillId="0" borderId="0" xfId="0" applyFont="1"/>
    <xf numFmtId="0" fontId="7" fillId="0" borderId="0" xfId="0" applyFont="1"/>
    <xf numFmtId="0" fontId="10" fillId="0" borderId="0" xfId="0" applyFont="1"/>
    <xf numFmtId="0" fontId="11" fillId="0" borderId="0" xfId="0" applyFont="1"/>
    <xf numFmtId="0" fontId="4" fillId="0" borderId="0" xfId="0" applyFont="1" applyAlignment="1">
      <alignment horizontal="left"/>
    </xf>
    <xf numFmtId="0" fontId="2" fillId="0" borderId="0" xfId="0" applyFont="1" applyAlignment="1">
      <alignment horizontal="center" vertical="center" wrapText="1"/>
    </xf>
    <xf numFmtId="0" fontId="3" fillId="0" borderId="11" xfId="0" applyFont="1" applyBorder="1"/>
    <xf numFmtId="0" fontId="22" fillId="13" borderId="7" xfId="0" applyFont="1" applyFill="1" applyBorder="1" applyAlignment="1">
      <alignment horizontal="center"/>
    </xf>
    <xf numFmtId="0" fontId="22" fillId="13" borderId="10" xfId="0" applyFont="1" applyFill="1" applyBorder="1" applyAlignment="1">
      <alignment horizontal="center"/>
    </xf>
    <xf numFmtId="0" fontId="23" fillId="0" borderId="0" xfId="0" applyFont="1"/>
    <xf numFmtId="0" fontId="0" fillId="0" borderId="0" xfId="0" applyAlignment="1">
      <alignment horizont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290B-E3BA-433E-A6AF-62E308443FA5}">
  <dimension ref="B1:E24"/>
  <sheetViews>
    <sheetView tabSelected="1" workbookViewId="0">
      <selection activeCell="D10" activeCellId="1" sqref="D3 D10"/>
    </sheetView>
  </sheetViews>
  <sheetFormatPr defaultRowHeight="14.4" x14ac:dyDescent="0.3"/>
  <cols>
    <col min="3" max="3" width="47.21875" bestFit="1" customWidth="1"/>
  </cols>
  <sheetData>
    <row r="1" spans="2:5" ht="43.2" x14ac:dyDescent="0.3">
      <c r="C1" s="12" t="s">
        <v>38</v>
      </c>
    </row>
    <row r="4" spans="2:5" x14ac:dyDescent="0.3">
      <c r="B4" s="108"/>
      <c r="C4" s="108"/>
      <c r="D4" s="1"/>
      <c r="E4" s="1"/>
    </row>
    <row r="5" spans="2:5" x14ac:dyDescent="0.3">
      <c r="B5" s="1"/>
      <c r="C5" s="2" t="s">
        <v>0</v>
      </c>
      <c r="D5" s="2" t="s">
        <v>1</v>
      </c>
      <c r="E5" s="2" t="s">
        <v>2</v>
      </c>
    </row>
    <row r="6" spans="2:5" x14ac:dyDescent="0.3">
      <c r="B6" s="1"/>
      <c r="C6" s="3" t="s">
        <v>3</v>
      </c>
      <c r="D6" s="3" t="s">
        <v>4</v>
      </c>
      <c r="E6" s="3">
        <v>43</v>
      </c>
    </row>
    <row r="7" spans="2:5" x14ac:dyDescent="0.3">
      <c r="B7" s="1"/>
      <c r="C7" s="3" t="s">
        <v>3</v>
      </c>
      <c r="D7" s="3" t="s">
        <v>5</v>
      </c>
      <c r="E7" s="3">
        <v>59</v>
      </c>
    </row>
    <row r="8" spans="2:5" x14ac:dyDescent="0.3">
      <c r="B8" s="1"/>
      <c r="C8" s="3" t="s">
        <v>3</v>
      </c>
      <c r="D8" s="3" t="s">
        <v>6</v>
      </c>
      <c r="E8" s="3">
        <v>72</v>
      </c>
    </row>
    <row r="9" spans="2:5" x14ac:dyDescent="0.3">
      <c r="B9" s="1"/>
      <c r="C9" s="4" t="s">
        <v>7</v>
      </c>
      <c r="D9" s="4" t="s">
        <v>8</v>
      </c>
      <c r="E9" s="4">
        <v>119</v>
      </c>
    </row>
    <row r="10" spans="2:5" x14ac:dyDescent="0.3">
      <c r="B10" s="1"/>
      <c r="C10" s="4" t="s">
        <v>7</v>
      </c>
      <c r="D10" s="4" t="s">
        <v>9</v>
      </c>
      <c r="E10" s="4">
        <v>175</v>
      </c>
    </row>
    <row r="11" spans="2:5" x14ac:dyDescent="0.3">
      <c r="B11" s="1"/>
      <c r="C11" s="4" t="s">
        <v>7</v>
      </c>
      <c r="D11" s="4" t="s">
        <v>10</v>
      </c>
      <c r="E11" s="4">
        <v>192</v>
      </c>
    </row>
    <row r="12" spans="2:5" x14ac:dyDescent="0.3">
      <c r="B12" s="1"/>
      <c r="C12" s="5" t="s">
        <v>11</v>
      </c>
      <c r="D12" s="5" t="s">
        <v>12</v>
      </c>
      <c r="E12" s="5">
        <v>240</v>
      </c>
    </row>
    <row r="13" spans="2:5" x14ac:dyDescent="0.3">
      <c r="B13" s="1"/>
      <c r="C13" s="5" t="s">
        <v>11</v>
      </c>
      <c r="D13" s="5" t="s">
        <v>13</v>
      </c>
      <c r="E13" s="5">
        <v>405</v>
      </c>
    </row>
    <row r="14" spans="2:5" x14ac:dyDescent="0.3">
      <c r="B14" s="1"/>
      <c r="C14" s="5" t="s">
        <v>11</v>
      </c>
      <c r="D14" s="5" t="s">
        <v>14</v>
      </c>
      <c r="E14" s="5">
        <v>522</v>
      </c>
    </row>
    <row r="15" spans="2:5" x14ac:dyDescent="0.3">
      <c r="B15" s="108"/>
      <c r="C15" s="108"/>
      <c r="D15" s="1"/>
      <c r="E15" s="1"/>
    </row>
    <row r="16" spans="2:5" x14ac:dyDescent="0.3">
      <c r="B16" s="1"/>
      <c r="C16" s="6" t="s">
        <v>15</v>
      </c>
      <c r="D16" s="1"/>
      <c r="E16" s="1"/>
    </row>
    <row r="17" spans="2:5" ht="15" thickBot="1" x14ac:dyDescent="0.35">
      <c r="B17" s="108"/>
      <c r="C17" s="108"/>
      <c r="D17" s="1"/>
      <c r="E17" s="1"/>
    </row>
    <row r="18" spans="2:5" ht="15" thickBot="1" x14ac:dyDescent="0.35">
      <c r="B18" s="7">
        <v>1</v>
      </c>
      <c r="C18" s="7" t="s">
        <v>16</v>
      </c>
      <c r="D18" s="1"/>
      <c r="E18" s="8">
        <f>AVERAGE(E6:E8)</f>
        <v>58</v>
      </c>
    </row>
    <row r="19" spans="2:5" ht="15" thickBot="1" x14ac:dyDescent="0.35">
      <c r="B19" s="108"/>
      <c r="C19" s="108"/>
      <c r="D19" s="1"/>
      <c r="E19" s="1"/>
    </row>
    <row r="20" spans="2:5" ht="15" thickBot="1" x14ac:dyDescent="0.35">
      <c r="B20" s="7">
        <v>2</v>
      </c>
      <c r="C20" s="7" t="s">
        <v>17</v>
      </c>
      <c r="D20" s="1"/>
      <c r="E20" s="8">
        <f>AVERAGE(E9:E11)</f>
        <v>162</v>
      </c>
    </row>
    <row r="21" spans="2:5" ht="15" thickBot="1" x14ac:dyDescent="0.35">
      <c r="B21" s="108"/>
      <c r="C21" s="108"/>
      <c r="D21" s="1"/>
      <c r="E21" s="1"/>
    </row>
    <row r="22" spans="2:5" ht="15" thickBot="1" x14ac:dyDescent="0.35">
      <c r="B22" s="7">
        <v>3</v>
      </c>
      <c r="C22" s="7" t="s">
        <v>18</v>
      </c>
      <c r="D22" s="1"/>
      <c r="E22" s="8">
        <f>AVERAGE(E12:E14)</f>
        <v>389</v>
      </c>
    </row>
    <row r="23" spans="2:5" ht="15" thickBot="1" x14ac:dyDescent="0.35">
      <c r="B23" s="108"/>
      <c r="C23" s="108"/>
      <c r="D23" s="1"/>
      <c r="E23" s="1"/>
    </row>
    <row r="24" spans="2:5" ht="15" thickBot="1" x14ac:dyDescent="0.35">
      <c r="B24" s="7">
        <v>4</v>
      </c>
      <c r="C24" s="7" t="s">
        <v>19</v>
      </c>
      <c r="D24" s="1"/>
      <c r="E24" s="9">
        <f>AVERAGE(E6:E14)</f>
        <v>203</v>
      </c>
    </row>
  </sheetData>
  <mergeCells count="6">
    <mergeCell ref="B23:C23"/>
    <mergeCell ref="B4:C4"/>
    <mergeCell ref="B15:C15"/>
    <mergeCell ref="B17:C17"/>
    <mergeCell ref="B19:C19"/>
    <mergeCell ref="B21: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A6DF2-B650-4226-A44D-4D2B7DC9953B}">
  <dimension ref="C1:E27"/>
  <sheetViews>
    <sheetView zoomScale="89" workbookViewId="0">
      <selection activeCell="C2" sqref="C2"/>
    </sheetView>
  </sheetViews>
  <sheetFormatPr defaultRowHeight="14.4" x14ac:dyDescent="0.3"/>
  <cols>
    <col min="3" max="3" width="100.5546875" customWidth="1"/>
  </cols>
  <sheetData>
    <row r="1" spans="3:5" ht="43.2" x14ac:dyDescent="0.3">
      <c r="C1" s="12" t="s">
        <v>39</v>
      </c>
    </row>
    <row r="4" spans="3:5" x14ac:dyDescent="0.3">
      <c r="C4" s="7" t="s">
        <v>20</v>
      </c>
      <c r="D4" s="1"/>
      <c r="E4" s="1"/>
    </row>
    <row r="5" spans="3:5" x14ac:dyDescent="0.3">
      <c r="C5" s="7" t="s">
        <v>21</v>
      </c>
      <c r="D5" s="1"/>
      <c r="E5" s="1"/>
    </row>
    <row r="6" spans="3:5" x14ac:dyDescent="0.3">
      <c r="C6" s="6" t="s">
        <v>22</v>
      </c>
      <c r="D6" s="6" t="s">
        <v>23</v>
      </c>
      <c r="E6" s="6" t="s">
        <v>24</v>
      </c>
    </row>
    <row r="7" spans="3:5" x14ac:dyDescent="0.3">
      <c r="C7" s="7" t="s">
        <v>25</v>
      </c>
      <c r="D7" s="10">
        <v>43101</v>
      </c>
      <c r="E7" s="7">
        <v>152</v>
      </c>
    </row>
    <row r="8" spans="3:5" x14ac:dyDescent="0.3">
      <c r="C8" s="7" t="s">
        <v>26</v>
      </c>
      <c r="D8" s="10">
        <v>43101</v>
      </c>
      <c r="E8" s="7">
        <v>171</v>
      </c>
    </row>
    <row r="9" spans="3:5" x14ac:dyDescent="0.3">
      <c r="C9" s="7" t="s">
        <v>27</v>
      </c>
      <c r="D9" s="10">
        <v>43101</v>
      </c>
      <c r="E9" s="7">
        <v>110</v>
      </c>
    </row>
    <row r="10" spans="3:5" x14ac:dyDescent="0.3">
      <c r="C10" s="7" t="s">
        <v>28</v>
      </c>
      <c r="D10" s="10">
        <v>43132</v>
      </c>
      <c r="E10" s="7">
        <v>173</v>
      </c>
    </row>
    <row r="11" spans="3:5" x14ac:dyDescent="0.3">
      <c r="C11" s="7" t="s">
        <v>29</v>
      </c>
      <c r="D11" s="10">
        <v>43132</v>
      </c>
      <c r="E11" s="7">
        <v>128</v>
      </c>
    </row>
    <row r="12" spans="3:5" x14ac:dyDescent="0.3">
      <c r="C12" s="7" t="s">
        <v>30</v>
      </c>
      <c r="D12" s="10">
        <v>43132</v>
      </c>
      <c r="E12" s="7">
        <v>107</v>
      </c>
    </row>
    <row r="13" spans="3:5" x14ac:dyDescent="0.3">
      <c r="C13" s="7" t="s">
        <v>31</v>
      </c>
      <c r="D13" s="10">
        <v>43160</v>
      </c>
      <c r="E13" s="7">
        <v>213</v>
      </c>
    </row>
    <row r="14" spans="3:5" x14ac:dyDescent="0.3">
      <c r="C14" s="7" t="s">
        <v>32</v>
      </c>
      <c r="D14" s="10">
        <v>43160</v>
      </c>
      <c r="E14" s="7">
        <v>238</v>
      </c>
    </row>
    <row r="15" spans="3:5" x14ac:dyDescent="0.3">
      <c r="C15" s="7" t="s">
        <v>33</v>
      </c>
      <c r="D15" s="10">
        <v>43160</v>
      </c>
      <c r="E15" s="7">
        <v>131</v>
      </c>
    </row>
    <row r="16" spans="3:5" x14ac:dyDescent="0.3">
      <c r="C16" s="1"/>
      <c r="D16" s="1"/>
      <c r="E16" s="1"/>
    </row>
    <row r="17" spans="3:5" x14ac:dyDescent="0.3">
      <c r="C17" s="7" t="s">
        <v>34</v>
      </c>
      <c r="D17" s="1"/>
      <c r="E17" s="1"/>
    </row>
    <row r="18" spans="3:5" x14ac:dyDescent="0.3">
      <c r="C18" s="1"/>
      <c r="D18" s="1"/>
      <c r="E18" s="1"/>
    </row>
    <row r="19" spans="3:5" x14ac:dyDescent="0.3">
      <c r="C19" s="10">
        <v>43101</v>
      </c>
      <c r="D19" s="11">
        <f>AVERAGE(E7:E9)</f>
        <v>144.33333333333334</v>
      </c>
      <c r="E19" s="7"/>
    </row>
    <row r="20" spans="3:5" x14ac:dyDescent="0.3">
      <c r="C20" s="10">
        <v>43132</v>
      </c>
      <c r="D20" s="11">
        <f>AVERAGE(E10:E12)</f>
        <v>136</v>
      </c>
      <c r="E20" s="7"/>
    </row>
    <row r="21" spans="3:5" x14ac:dyDescent="0.3">
      <c r="C21" s="10">
        <v>43160</v>
      </c>
      <c r="D21" s="11">
        <f>AVERAGE(E13:E15)</f>
        <v>194</v>
      </c>
      <c r="E21" s="7"/>
    </row>
    <row r="22" spans="3:5" x14ac:dyDescent="0.3">
      <c r="C22" s="1"/>
      <c r="D22" s="1"/>
      <c r="E22" s="1"/>
    </row>
    <row r="23" spans="3:5" x14ac:dyDescent="0.3">
      <c r="C23" s="1"/>
      <c r="D23" s="1"/>
      <c r="E23" s="1"/>
    </row>
    <row r="24" spans="3:5" x14ac:dyDescent="0.3">
      <c r="C24" s="7" t="s">
        <v>35</v>
      </c>
      <c r="D24" s="1"/>
      <c r="E24" s="1"/>
    </row>
    <row r="25" spans="3:5" x14ac:dyDescent="0.3">
      <c r="C25" s="1"/>
      <c r="D25" s="1"/>
      <c r="E25" s="1"/>
    </row>
    <row r="26" spans="3:5" x14ac:dyDescent="0.3">
      <c r="C26" s="7" t="s">
        <v>36</v>
      </c>
      <c r="D26" s="11">
        <f>SUM(E7:E15)/COUNT(E7:E15)</f>
        <v>158.11111111111111</v>
      </c>
      <c r="E26" s="7"/>
    </row>
    <row r="27" spans="3:5" x14ac:dyDescent="0.3">
      <c r="C27" s="7" t="s">
        <v>37</v>
      </c>
      <c r="D27" s="11">
        <f>AVERAGE(E7:E15)</f>
        <v>158.11111111111111</v>
      </c>
      <c r="E2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FEA0-F885-4A2E-86DE-7E431CE9565F}">
  <dimension ref="C1:I24"/>
  <sheetViews>
    <sheetView topLeftCell="A12" workbookViewId="0">
      <selection activeCell="C5" sqref="C5"/>
    </sheetView>
  </sheetViews>
  <sheetFormatPr defaultRowHeight="14.4" x14ac:dyDescent="0.3"/>
  <cols>
    <col min="3" max="3" width="84.33203125" bestFit="1" customWidth="1"/>
    <col min="4" max="4" width="58.44140625" bestFit="1" customWidth="1"/>
  </cols>
  <sheetData>
    <row r="1" spans="3:9" ht="28.8" x14ac:dyDescent="0.3">
      <c r="C1" s="12" t="s">
        <v>81</v>
      </c>
    </row>
    <row r="2" spans="3:9" x14ac:dyDescent="0.3">
      <c r="C2" s="27" t="s">
        <v>82</v>
      </c>
    </row>
    <row r="7" spans="3:9" x14ac:dyDescent="0.3">
      <c r="C7" s="13" t="s">
        <v>40</v>
      </c>
      <c r="D7" s="14"/>
      <c r="E7" s="14"/>
      <c r="F7" s="14"/>
      <c r="G7" s="14"/>
      <c r="H7" s="14"/>
      <c r="I7" s="14"/>
    </row>
    <row r="8" spans="3:9" x14ac:dyDescent="0.3">
      <c r="C8" s="15" t="s">
        <v>41</v>
      </c>
      <c r="D8" s="14"/>
      <c r="E8" s="14"/>
      <c r="F8" s="14"/>
      <c r="G8" s="14"/>
      <c r="H8" s="14"/>
      <c r="I8" s="14"/>
    </row>
    <row r="9" spans="3:9" x14ac:dyDescent="0.3">
      <c r="C9" s="16" t="s">
        <v>42</v>
      </c>
      <c r="D9" s="17" t="s">
        <v>43</v>
      </c>
      <c r="E9" s="14"/>
      <c r="F9" s="14"/>
      <c r="G9" s="14"/>
      <c r="H9" s="14"/>
      <c r="I9" s="14"/>
    </row>
    <row r="10" spans="3:9" x14ac:dyDescent="0.3">
      <c r="C10" s="16" t="s">
        <v>44</v>
      </c>
      <c r="D10" s="18">
        <v>7</v>
      </c>
      <c r="E10" s="14"/>
      <c r="F10" s="14"/>
      <c r="G10" s="14"/>
      <c r="H10" s="14"/>
      <c r="I10" s="14"/>
    </row>
    <row r="11" spans="3:9" x14ac:dyDescent="0.3">
      <c r="C11" s="16" t="s">
        <v>45</v>
      </c>
      <c r="D11" s="18">
        <v>5</v>
      </c>
      <c r="E11" s="14"/>
      <c r="F11" s="14"/>
      <c r="G11" s="14"/>
      <c r="H11" s="14"/>
      <c r="I11" s="14"/>
    </row>
    <row r="12" spans="3:9" x14ac:dyDescent="0.3">
      <c r="C12" s="16" t="s">
        <v>46</v>
      </c>
      <c r="D12" s="18">
        <v>6</v>
      </c>
      <c r="E12" s="14"/>
      <c r="F12" s="14"/>
      <c r="G12" s="14"/>
      <c r="H12" s="14"/>
      <c r="I12" s="14"/>
    </row>
    <row r="13" spans="3:9" x14ac:dyDescent="0.3">
      <c r="C13" s="16" t="s">
        <v>47</v>
      </c>
      <c r="D13" s="18">
        <v>4</v>
      </c>
      <c r="E13" s="14"/>
      <c r="F13" s="14"/>
      <c r="G13" s="14"/>
      <c r="H13" s="14"/>
      <c r="I13" s="14"/>
    </row>
    <row r="14" spans="3:9" x14ac:dyDescent="0.3">
      <c r="C14" s="16" t="s">
        <v>48</v>
      </c>
      <c r="D14" s="18" t="s">
        <v>49</v>
      </c>
      <c r="E14" s="14"/>
      <c r="F14" s="14"/>
      <c r="G14" s="14"/>
      <c r="H14" s="14"/>
      <c r="I14" s="14"/>
    </row>
    <row r="15" spans="3:9" x14ac:dyDescent="0.3">
      <c r="C15" s="16" t="s">
        <v>50</v>
      </c>
      <c r="D15" s="18" t="s">
        <v>51</v>
      </c>
      <c r="E15" s="14"/>
      <c r="F15" s="14"/>
      <c r="G15" s="14"/>
      <c r="H15" s="14"/>
      <c r="I15" s="14"/>
    </row>
    <row r="16" spans="3:9" x14ac:dyDescent="0.3">
      <c r="C16" s="16" t="s">
        <v>52</v>
      </c>
      <c r="D16" s="18" t="s">
        <v>52</v>
      </c>
      <c r="E16" s="14"/>
      <c r="F16" s="14"/>
      <c r="G16" s="14"/>
      <c r="H16" s="14"/>
      <c r="I16" s="14"/>
    </row>
    <row r="17" spans="3:9" x14ac:dyDescent="0.3">
      <c r="C17" s="14"/>
      <c r="D17" s="14"/>
      <c r="E17" s="14"/>
      <c r="F17" s="14"/>
      <c r="G17" s="14"/>
      <c r="H17" s="14"/>
      <c r="I17" s="14"/>
    </row>
    <row r="18" spans="3:9" x14ac:dyDescent="0.3">
      <c r="C18" s="15" t="s">
        <v>53</v>
      </c>
      <c r="D18" s="14"/>
      <c r="E18" s="14"/>
      <c r="F18" s="14"/>
      <c r="G18" s="14"/>
      <c r="H18" s="14"/>
      <c r="I18" s="14"/>
    </row>
    <row r="19" spans="3:9" x14ac:dyDescent="0.3">
      <c r="C19" s="14"/>
      <c r="D19" s="14"/>
      <c r="E19" s="14"/>
      <c r="F19" s="14"/>
      <c r="G19" s="14"/>
      <c r="H19" s="14"/>
      <c r="I19" s="14"/>
    </row>
    <row r="20" spans="3:9" ht="15" thickBot="1" x14ac:dyDescent="0.35">
      <c r="C20" s="15" t="s">
        <v>54</v>
      </c>
      <c r="D20" s="15" t="s">
        <v>55</v>
      </c>
      <c r="E20" s="14"/>
      <c r="F20" s="14"/>
      <c r="G20" s="14"/>
      <c r="H20" s="14"/>
      <c r="I20" s="14"/>
    </row>
    <row r="21" spans="3:9" ht="15" thickBot="1" x14ac:dyDescent="0.35">
      <c r="C21" s="15" t="s">
        <v>43</v>
      </c>
      <c r="D21" s="19">
        <f>COUNT(D10:D16)</f>
        <v>4</v>
      </c>
      <c r="E21" s="15"/>
      <c r="F21" s="14"/>
      <c r="G21" s="14"/>
      <c r="H21" s="14"/>
      <c r="I21" s="14"/>
    </row>
    <row r="22" spans="3:9" x14ac:dyDescent="0.3">
      <c r="C22" s="14"/>
      <c r="D22" s="14"/>
      <c r="E22" s="14"/>
      <c r="F22" s="14"/>
      <c r="G22" s="14"/>
      <c r="H22" s="14"/>
      <c r="I22" s="14"/>
    </row>
    <row r="23" spans="3:9" ht="15" thickBot="1" x14ac:dyDescent="0.35">
      <c r="C23" s="15" t="s">
        <v>54</v>
      </c>
      <c r="D23" s="15" t="s">
        <v>56</v>
      </c>
      <c r="E23" s="14"/>
      <c r="F23" s="14"/>
      <c r="G23" s="14"/>
      <c r="H23" s="14"/>
      <c r="I23" s="14"/>
    </row>
    <row r="24" spans="3:9" ht="15" thickBot="1" x14ac:dyDescent="0.35">
      <c r="C24" s="15" t="s">
        <v>43</v>
      </c>
      <c r="D24" s="19">
        <f>COUNTA(D10:D16)</f>
        <v>7</v>
      </c>
      <c r="E24" s="15"/>
      <c r="F24" s="14"/>
      <c r="G24" s="14"/>
      <c r="H24" s="14"/>
      <c r="I24"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5384-5726-42F7-8A92-BC672B94666C}">
  <dimension ref="C2:H32"/>
  <sheetViews>
    <sheetView topLeftCell="A20" workbookViewId="0">
      <selection activeCell="D33" sqref="D33"/>
    </sheetView>
  </sheetViews>
  <sheetFormatPr defaultRowHeight="14.4" x14ac:dyDescent="0.3"/>
  <cols>
    <col min="3" max="3" width="64.44140625" bestFit="1" customWidth="1"/>
    <col min="4" max="4" width="61.21875" bestFit="1" customWidth="1"/>
    <col min="5" max="5" width="7.109375" bestFit="1" customWidth="1"/>
  </cols>
  <sheetData>
    <row r="2" spans="3:8" ht="57.6" x14ac:dyDescent="0.3">
      <c r="C2" s="12" t="s">
        <v>83</v>
      </c>
    </row>
    <row r="6" spans="3:8" x14ac:dyDescent="0.3">
      <c r="C6" s="20" t="s">
        <v>57</v>
      </c>
      <c r="D6" s="21"/>
      <c r="E6" s="21"/>
      <c r="F6" s="21"/>
      <c r="G6" s="21"/>
      <c r="H6" s="21"/>
    </row>
    <row r="7" spans="3:8" x14ac:dyDescent="0.3">
      <c r="C7" s="20" t="s">
        <v>58</v>
      </c>
      <c r="D7" s="21"/>
      <c r="E7" s="21"/>
      <c r="F7" s="21"/>
      <c r="G7" s="21"/>
      <c r="H7" s="21"/>
    </row>
    <row r="8" spans="3:8" ht="24" x14ac:dyDescent="0.3">
      <c r="C8" s="22" t="s">
        <v>59</v>
      </c>
      <c r="D8" s="22" t="s">
        <v>60</v>
      </c>
      <c r="E8" s="22" t="s">
        <v>61</v>
      </c>
      <c r="F8" s="21"/>
      <c r="G8" s="21"/>
      <c r="H8" s="21"/>
    </row>
    <row r="9" spans="3:8" ht="36" x14ac:dyDescent="0.3">
      <c r="C9" s="23">
        <v>101</v>
      </c>
      <c r="D9" s="23" t="s">
        <v>62</v>
      </c>
      <c r="E9" s="24">
        <v>78022</v>
      </c>
      <c r="F9" s="21"/>
      <c r="G9" s="21"/>
      <c r="H9" s="21"/>
    </row>
    <row r="10" spans="3:8" x14ac:dyDescent="0.3">
      <c r="C10" s="23">
        <v>102</v>
      </c>
      <c r="D10" s="23" t="s">
        <v>63</v>
      </c>
      <c r="E10" s="24">
        <v>99819</v>
      </c>
      <c r="F10" s="21"/>
      <c r="G10" s="21"/>
      <c r="H10" s="21"/>
    </row>
    <row r="11" spans="3:8" ht="24" x14ac:dyDescent="0.3">
      <c r="C11" s="23">
        <v>103</v>
      </c>
      <c r="D11" s="23" t="s">
        <v>64</v>
      </c>
      <c r="E11" s="23" t="s">
        <v>65</v>
      </c>
      <c r="F11" s="21"/>
      <c r="G11" s="21"/>
      <c r="H11" s="21"/>
    </row>
    <row r="12" spans="3:8" x14ac:dyDescent="0.3">
      <c r="C12" s="23">
        <v>104</v>
      </c>
      <c r="D12" s="23" t="s">
        <v>66</v>
      </c>
      <c r="E12" s="24">
        <v>27522</v>
      </c>
      <c r="F12" s="21"/>
      <c r="G12" s="21"/>
      <c r="H12" s="21"/>
    </row>
    <row r="13" spans="3:8" ht="24" x14ac:dyDescent="0.3">
      <c r="C13" s="23">
        <v>105</v>
      </c>
      <c r="D13" s="23" t="s">
        <v>67</v>
      </c>
      <c r="E13" s="23">
        <v>0</v>
      </c>
      <c r="F13" s="21"/>
      <c r="G13" s="21"/>
      <c r="H13" s="21"/>
    </row>
    <row r="14" spans="3:8" ht="24" x14ac:dyDescent="0.3">
      <c r="C14" s="23">
        <v>106</v>
      </c>
      <c r="D14" s="23" t="s">
        <v>68</v>
      </c>
      <c r="E14" s="23"/>
      <c r="F14" s="21"/>
      <c r="G14" s="21"/>
      <c r="H14" s="21"/>
    </row>
    <row r="15" spans="3:8" ht="24" x14ac:dyDescent="0.3">
      <c r="C15" s="23">
        <v>107</v>
      </c>
      <c r="D15" s="23" t="s">
        <v>69</v>
      </c>
      <c r="E15" s="23">
        <v>0</v>
      </c>
      <c r="F15" s="21"/>
      <c r="G15" s="21"/>
      <c r="H15" s="21"/>
    </row>
    <row r="16" spans="3:8" ht="24" x14ac:dyDescent="0.3">
      <c r="C16" s="23">
        <v>108</v>
      </c>
      <c r="D16" s="23" t="s">
        <v>70</v>
      </c>
      <c r="E16" s="24">
        <v>88041</v>
      </c>
      <c r="F16" s="21"/>
      <c r="G16" s="21"/>
      <c r="H16" s="21"/>
    </row>
    <row r="17" spans="3:8" ht="36" x14ac:dyDescent="0.3">
      <c r="C17" s="23">
        <v>109</v>
      </c>
      <c r="D17" s="23" t="s">
        <v>71</v>
      </c>
      <c r="E17" s="24">
        <v>81831</v>
      </c>
      <c r="F17" s="21"/>
      <c r="G17" s="21"/>
      <c r="H17" s="21"/>
    </row>
    <row r="18" spans="3:8" ht="24" x14ac:dyDescent="0.3">
      <c r="C18" s="23">
        <v>110</v>
      </c>
      <c r="D18" s="23" t="s">
        <v>72</v>
      </c>
      <c r="E18" s="23" t="s">
        <v>65</v>
      </c>
      <c r="F18" s="21"/>
      <c r="G18" s="21"/>
      <c r="H18" s="21"/>
    </row>
    <row r="19" spans="3:8" ht="24" x14ac:dyDescent="0.3">
      <c r="C19" s="23">
        <v>111</v>
      </c>
      <c r="D19" s="23" t="s">
        <v>73</v>
      </c>
      <c r="E19" s="25"/>
      <c r="F19" s="21"/>
      <c r="G19" s="21"/>
      <c r="H19" s="21"/>
    </row>
    <row r="20" spans="3:8" ht="36" x14ac:dyDescent="0.3">
      <c r="C20" s="23">
        <v>112</v>
      </c>
      <c r="D20" s="23" t="s">
        <v>74</v>
      </c>
      <c r="E20" s="24">
        <v>26624</v>
      </c>
      <c r="F20" s="21"/>
      <c r="G20" s="21"/>
      <c r="H20" s="21"/>
    </row>
    <row r="21" spans="3:8" ht="36" x14ac:dyDescent="0.3">
      <c r="C21" s="23">
        <v>113</v>
      </c>
      <c r="D21" s="23" t="s">
        <v>75</v>
      </c>
      <c r="E21" s="24">
        <v>92885</v>
      </c>
      <c r="F21" s="21"/>
      <c r="G21" s="21"/>
      <c r="H21" s="21"/>
    </row>
    <row r="22" spans="3:8" ht="36" x14ac:dyDescent="0.3">
      <c r="C22" s="23">
        <v>114</v>
      </c>
      <c r="D22" s="23" t="s">
        <v>76</v>
      </c>
      <c r="E22" s="23">
        <v>0</v>
      </c>
      <c r="F22" s="21"/>
      <c r="G22" s="21"/>
      <c r="H22" s="21"/>
    </row>
    <row r="23" spans="3:8" x14ac:dyDescent="0.3">
      <c r="C23" s="21"/>
      <c r="D23" s="21"/>
      <c r="E23" s="21"/>
      <c r="F23" s="21"/>
      <c r="G23" s="21"/>
      <c r="H23" s="21"/>
    </row>
    <row r="24" spans="3:8" x14ac:dyDescent="0.3">
      <c r="C24" s="20" t="s">
        <v>77</v>
      </c>
      <c r="D24" s="21"/>
      <c r="E24" s="21"/>
      <c r="F24" s="21"/>
      <c r="G24" s="21"/>
      <c r="H24" s="21"/>
    </row>
    <row r="25" spans="3:8" ht="15" thickBot="1" x14ac:dyDescent="0.35">
      <c r="C25" s="21" t="s">
        <v>54</v>
      </c>
      <c r="D25" s="21" t="s">
        <v>78</v>
      </c>
      <c r="E25" s="21"/>
      <c r="F25" s="21"/>
      <c r="G25" s="21"/>
      <c r="H25" s="21"/>
    </row>
    <row r="26" spans="3:8" ht="15" thickBot="1" x14ac:dyDescent="0.35">
      <c r="C26" s="21" t="s">
        <v>43</v>
      </c>
      <c r="D26" s="26">
        <f>COUNT(E9:E22)</f>
        <v>10</v>
      </c>
      <c r="E26" s="21"/>
      <c r="F26" s="21"/>
      <c r="G26" s="21"/>
      <c r="H26" s="21"/>
    </row>
    <row r="27" spans="3:8" x14ac:dyDescent="0.3">
      <c r="C27" s="21"/>
      <c r="D27" s="21"/>
      <c r="E27" s="21"/>
      <c r="F27" s="21"/>
      <c r="G27" s="21"/>
      <c r="H27" s="21"/>
    </row>
    <row r="28" spans="3:8" x14ac:dyDescent="0.3">
      <c r="C28" s="21"/>
      <c r="D28" s="21" t="s">
        <v>79</v>
      </c>
      <c r="E28" s="21"/>
      <c r="F28" s="21"/>
      <c r="G28" s="21"/>
      <c r="H28" s="21"/>
    </row>
    <row r="29" spans="3:8" x14ac:dyDescent="0.3">
      <c r="C29" s="21"/>
      <c r="D29" s="21"/>
      <c r="E29" s="21"/>
      <c r="F29" s="21"/>
      <c r="G29" s="21"/>
      <c r="H29" s="21"/>
    </row>
    <row r="30" spans="3:8" x14ac:dyDescent="0.3">
      <c r="C30" s="21"/>
      <c r="D30" s="21"/>
      <c r="E30" s="21"/>
      <c r="F30" s="21"/>
      <c r="G30" s="21"/>
      <c r="H30" s="21"/>
    </row>
    <row r="31" spans="3:8" ht="15" thickBot="1" x14ac:dyDescent="0.35">
      <c r="C31" s="21" t="s">
        <v>54</v>
      </c>
      <c r="D31" s="21" t="s">
        <v>80</v>
      </c>
      <c r="E31" s="21"/>
      <c r="F31" s="21"/>
      <c r="G31" s="21"/>
      <c r="H31" s="21"/>
    </row>
    <row r="32" spans="3:8" ht="15" thickBot="1" x14ac:dyDescent="0.35">
      <c r="C32" s="21" t="s">
        <v>43</v>
      </c>
      <c r="D32" s="26">
        <f>COUNTA(E9:E22)</f>
        <v>12</v>
      </c>
      <c r="E32" s="21"/>
      <c r="F32" s="21"/>
      <c r="G32" s="21"/>
      <c r="H32"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F106-ADF4-47B2-96B8-7FD8B029F8CF}">
  <dimension ref="A1:G30"/>
  <sheetViews>
    <sheetView workbookViewId="0">
      <selection activeCell="B29" sqref="B29:C29"/>
    </sheetView>
  </sheetViews>
  <sheetFormatPr defaultRowHeight="14.4" x14ac:dyDescent="0.3"/>
  <cols>
    <col min="2" max="2" width="94" bestFit="1" customWidth="1"/>
  </cols>
  <sheetData>
    <row r="1" spans="1:6" ht="42.6" customHeight="1" x14ac:dyDescent="0.3">
      <c r="B1" s="27" t="s">
        <v>84</v>
      </c>
    </row>
    <row r="3" spans="1:6" x14ac:dyDescent="0.3">
      <c r="A3" s="14"/>
      <c r="B3" s="15" t="s">
        <v>85</v>
      </c>
      <c r="C3" s="14"/>
      <c r="D3" s="14"/>
      <c r="E3" s="14"/>
      <c r="F3" s="14"/>
    </row>
    <row r="4" spans="1:6" ht="15" thickBot="1" x14ac:dyDescent="0.35">
      <c r="A4" s="14"/>
      <c r="B4" s="14"/>
      <c r="C4" s="14"/>
      <c r="D4" s="14"/>
      <c r="E4" s="14"/>
      <c r="F4" s="14"/>
    </row>
    <row r="5" spans="1:6" x14ac:dyDescent="0.3">
      <c r="A5" s="14"/>
      <c r="B5" s="28"/>
      <c r="C5" s="14"/>
      <c r="D5" s="14"/>
      <c r="E5" s="14"/>
      <c r="F5" s="14"/>
    </row>
    <row r="6" spans="1:6" x14ac:dyDescent="0.3">
      <c r="A6" s="14"/>
      <c r="B6" s="29" t="s">
        <v>86</v>
      </c>
      <c r="C6" s="14"/>
      <c r="D6" s="14"/>
      <c r="E6" s="14"/>
      <c r="F6" s="14"/>
    </row>
    <row r="7" spans="1:6" x14ac:dyDescent="0.3">
      <c r="A7" s="14"/>
      <c r="B7" s="29">
        <v>4</v>
      </c>
      <c r="C7" s="14"/>
      <c r="D7" s="14"/>
      <c r="E7" s="14"/>
      <c r="F7" s="14"/>
    </row>
    <row r="8" spans="1:6" x14ac:dyDescent="0.3">
      <c r="A8" s="14"/>
      <c r="B8" s="29"/>
      <c r="C8" s="14"/>
      <c r="D8" s="14"/>
      <c r="E8" s="14"/>
      <c r="F8" s="14"/>
    </row>
    <row r="9" spans="1:6" x14ac:dyDescent="0.3">
      <c r="A9" s="14"/>
      <c r="B9" s="29">
        <v>3</v>
      </c>
      <c r="C9" s="14"/>
      <c r="D9" s="14"/>
      <c r="E9" s="14"/>
      <c r="F9" s="14"/>
    </row>
    <row r="10" spans="1:6" x14ac:dyDescent="0.3">
      <c r="A10" s="14"/>
      <c r="B10" s="29"/>
      <c r="C10" s="14"/>
      <c r="D10" s="14"/>
      <c r="E10" s="14"/>
      <c r="F10" s="14"/>
    </row>
    <row r="11" spans="1:6" x14ac:dyDescent="0.3">
      <c r="A11" s="14"/>
      <c r="B11" s="29" t="s">
        <v>87</v>
      </c>
      <c r="C11" s="14"/>
      <c r="D11" s="14"/>
      <c r="E11" s="14"/>
      <c r="F11" s="14"/>
    </row>
    <row r="12" spans="1:6" x14ac:dyDescent="0.3">
      <c r="A12" s="14"/>
      <c r="B12" s="29"/>
      <c r="C12" s="14"/>
      <c r="D12" s="14"/>
      <c r="E12" s="14"/>
      <c r="F12" s="14"/>
    </row>
    <row r="13" spans="1:6" x14ac:dyDescent="0.3">
      <c r="A13" s="14"/>
      <c r="B13" s="29" t="e">
        <v>#DIV/0!</v>
      </c>
      <c r="C13" s="14"/>
      <c r="D13" s="14"/>
      <c r="E13" s="14"/>
      <c r="F13" s="14"/>
    </row>
    <row r="14" spans="1:6" x14ac:dyDescent="0.3">
      <c r="A14" s="14"/>
      <c r="B14" s="29" t="s">
        <v>88</v>
      </c>
      <c r="C14" s="14"/>
      <c r="D14" s="14"/>
      <c r="E14" s="14"/>
      <c r="F14" s="14"/>
    </row>
    <row r="15" spans="1:6" ht="15" thickBot="1" x14ac:dyDescent="0.35">
      <c r="A15" s="14"/>
      <c r="B15" s="30" t="s">
        <v>89</v>
      </c>
      <c r="C15" s="14"/>
      <c r="D15" s="14"/>
      <c r="E15" s="14"/>
      <c r="F15" s="14"/>
    </row>
    <row r="16" spans="1:6" x14ac:dyDescent="0.3">
      <c r="A16" s="14"/>
      <c r="B16" s="14"/>
      <c r="C16" s="14"/>
      <c r="D16" s="14"/>
      <c r="E16" s="14"/>
      <c r="F16" s="14"/>
    </row>
    <row r="17" spans="1:7" x14ac:dyDescent="0.3">
      <c r="A17" s="14"/>
      <c r="B17" s="15" t="s">
        <v>90</v>
      </c>
      <c r="C17" s="14"/>
      <c r="D17" s="14"/>
      <c r="E17" s="14"/>
      <c r="F17" s="14"/>
    </row>
    <row r="18" spans="1:7" x14ac:dyDescent="0.3">
      <c r="A18" s="14"/>
      <c r="B18" s="14"/>
      <c r="C18" s="14"/>
      <c r="D18" s="14"/>
      <c r="E18" s="14"/>
      <c r="F18" s="14"/>
    </row>
    <row r="19" spans="1:7" x14ac:dyDescent="0.3">
      <c r="A19" s="15">
        <v>1</v>
      </c>
      <c r="B19" s="15" t="s">
        <v>91</v>
      </c>
      <c r="C19" s="14"/>
      <c r="D19" s="14"/>
      <c r="E19" s="14"/>
      <c r="F19" s="14"/>
    </row>
    <row r="20" spans="1:7" x14ac:dyDescent="0.3">
      <c r="A20" s="14"/>
      <c r="B20" s="14">
        <f>COUNT(B5:B15)</f>
        <v>2</v>
      </c>
      <c r="C20" s="15"/>
      <c r="D20" s="14"/>
      <c r="E20" s="14"/>
      <c r="F20" s="14"/>
    </row>
    <row r="21" spans="1:7" x14ac:dyDescent="0.3">
      <c r="A21" s="14"/>
      <c r="B21" s="14"/>
      <c r="C21" s="14"/>
      <c r="D21" s="14"/>
      <c r="E21" s="14"/>
      <c r="F21" s="14"/>
    </row>
    <row r="22" spans="1:7" x14ac:dyDescent="0.3">
      <c r="A22" s="15">
        <v>2</v>
      </c>
      <c r="B22" s="15" t="s">
        <v>92</v>
      </c>
      <c r="C22" s="14"/>
      <c r="D22" s="14"/>
      <c r="E22" s="14"/>
      <c r="F22" s="14"/>
    </row>
    <row r="23" spans="1:7" x14ac:dyDescent="0.3">
      <c r="A23" s="14"/>
      <c r="B23" s="14">
        <f>COUNTBLANK(B5:B15)</f>
        <v>4</v>
      </c>
      <c r="C23" s="15"/>
      <c r="D23" s="14"/>
      <c r="E23" s="14"/>
      <c r="F23" s="14"/>
    </row>
    <row r="24" spans="1:7" x14ac:dyDescent="0.3">
      <c r="A24" s="14"/>
      <c r="B24" s="14"/>
      <c r="C24" s="14"/>
      <c r="D24" s="14"/>
      <c r="E24" s="14"/>
      <c r="F24" s="14"/>
    </row>
    <row r="25" spans="1:7" x14ac:dyDescent="0.3">
      <c r="A25" s="15">
        <v>3</v>
      </c>
      <c r="B25" s="15" t="s">
        <v>93</v>
      </c>
      <c r="C25" s="14"/>
      <c r="D25" s="14"/>
      <c r="E25" s="14"/>
      <c r="F25" s="14"/>
    </row>
    <row r="26" spans="1:7" x14ac:dyDescent="0.3">
      <c r="A26" s="14"/>
      <c r="B26" s="14">
        <f>COUNTA(B5:B15)-COUNT(B5:B15)</f>
        <v>5</v>
      </c>
      <c r="C26" s="15"/>
      <c r="D26" s="14"/>
      <c r="E26" s="14"/>
      <c r="F26" s="14"/>
    </row>
    <row r="27" spans="1:7" x14ac:dyDescent="0.3">
      <c r="A27" s="14"/>
      <c r="B27" s="14"/>
      <c r="C27" s="14"/>
      <c r="D27" s="14"/>
      <c r="E27" s="14"/>
      <c r="F27" s="14"/>
    </row>
    <row r="28" spans="1:7" x14ac:dyDescent="0.3">
      <c r="A28" s="15">
        <v>4</v>
      </c>
      <c r="B28" s="15" t="s">
        <v>94</v>
      </c>
      <c r="C28" s="14"/>
      <c r="D28" s="14"/>
      <c r="E28" s="14"/>
      <c r="F28" s="14"/>
    </row>
    <row r="29" spans="1:7" x14ac:dyDescent="0.3">
      <c r="B29" s="105">
        <f>COUNTA(B5:B15)+COUNTBLANK(B5:B15)</f>
        <v>11</v>
      </c>
      <c r="C29" s="105"/>
      <c r="D29" s="15"/>
      <c r="E29" s="14"/>
      <c r="F29" s="14"/>
      <c r="G29" s="14"/>
    </row>
    <row r="30" spans="1:7" x14ac:dyDescent="0.3">
      <c r="B30" s="109"/>
      <c r="C30" s="109"/>
      <c r="D30" s="14"/>
      <c r="E30" s="14"/>
      <c r="F30" s="14"/>
      <c r="G30" s="14"/>
    </row>
  </sheetData>
  <mergeCells count="2">
    <mergeCell ref="B29:C29"/>
    <mergeCell ref="B30:C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73E4-4EB0-4CF3-8F90-C11ED7FE4869}">
  <dimension ref="B1:M25"/>
  <sheetViews>
    <sheetView workbookViewId="0">
      <selection activeCell="D15" sqref="D15"/>
    </sheetView>
  </sheetViews>
  <sheetFormatPr defaultRowHeight="14.4" x14ac:dyDescent="0.3"/>
  <cols>
    <col min="3" max="3" width="63.77734375" bestFit="1" customWidth="1"/>
    <col min="4" max="4" width="8.5546875" bestFit="1" customWidth="1"/>
  </cols>
  <sheetData>
    <row r="1" spans="2:13" x14ac:dyDescent="0.3">
      <c r="C1" s="27" t="s">
        <v>95</v>
      </c>
    </row>
    <row r="4" spans="2:13" x14ac:dyDescent="0.3">
      <c r="B4" s="111"/>
      <c r="C4" s="111"/>
      <c r="D4" s="21"/>
      <c r="E4" s="21"/>
      <c r="F4" s="21"/>
      <c r="G4" s="21"/>
      <c r="H4" s="21"/>
      <c r="I4" s="21"/>
      <c r="J4" s="21"/>
      <c r="K4" s="21"/>
      <c r="L4" s="21"/>
      <c r="M4" s="21"/>
    </row>
    <row r="5" spans="2:13" x14ac:dyDescent="0.3">
      <c r="B5" s="21"/>
      <c r="C5" s="31" t="s">
        <v>96</v>
      </c>
      <c r="D5" s="21"/>
      <c r="E5" s="21"/>
      <c r="F5" s="21"/>
      <c r="G5" s="21"/>
      <c r="H5" s="21"/>
      <c r="I5" s="21"/>
      <c r="J5" s="21"/>
      <c r="K5" s="21"/>
      <c r="L5" s="21"/>
      <c r="M5" s="21"/>
    </row>
    <row r="6" spans="2:13" x14ac:dyDescent="0.3">
      <c r="B6" s="21"/>
      <c r="C6" s="32" t="s">
        <v>97</v>
      </c>
      <c r="D6" s="32">
        <v>101</v>
      </c>
      <c r="E6" s="32">
        <v>102</v>
      </c>
      <c r="F6" s="32">
        <v>103</v>
      </c>
      <c r="G6" s="32">
        <v>104</v>
      </c>
      <c r="H6" s="32">
        <v>105</v>
      </c>
      <c r="I6" s="32">
        <v>106</v>
      </c>
      <c r="J6" s="32">
        <v>107</v>
      </c>
      <c r="K6" s="32">
        <v>108</v>
      </c>
      <c r="L6" s="32">
        <v>109</v>
      </c>
      <c r="M6" s="32">
        <v>110</v>
      </c>
    </row>
    <row r="7" spans="2:13" x14ac:dyDescent="0.3">
      <c r="B7" s="21"/>
      <c r="C7" s="32" t="s">
        <v>98</v>
      </c>
      <c r="D7" s="33" t="s">
        <v>99</v>
      </c>
      <c r="E7" s="33" t="s">
        <v>100</v>
      </c>
      <c r="F7" s="33" t="s">
        <v>101</v>
      </c>
      <c r="G7" s="33" t="s">
        <v>102</v>
      </c>
      <c r="H7" s="33" t="s">
        <v>103</v>
      </c>
      <c r="I7" s="33" t="s">
        <v>104</v>
      </c>
      <c r="J7" s="33" t="s">
        <v>105</v>
      </c>
      <c r="K7" s="33" t="s">
        <v>106</v>
      </c>
      <c r="L7" s="33" t="s">
        <v>107</v>
      </c>
      <c r="M7" s="33" t="s">
        <v>108</v>
      </c>
    </row>
    <row r="8" spans="2:13" x14ac:dyDescent="0.3">
      <c r="B8" s="21"/>
      <c r="C8" s="32" t="s">
        <v>109</v>
      </c>
      <c r="D8" s="33" t="s">
        <v>110</v>
      </c>
      <c r="E8" s="33" t="s">
        <v>111</v>
      </c>
      <c r="F8" s="33" t="s">
        <v>112</v>
      </c>
      <c r="G8" s="33" t="s">
        <v>113</v>
      </c>
      <c r="H8" s="33" t="s">
        <v>110</v>
      </c>
      <c r="I8" s="33" t="s">
        <v>111</v>
      </c>
      <c r="J8" s="33" t="s">
        <v>112</v>
      </c>
      <c r="K8" s="33" t="s">
        <v>113</v>
      </c>
      <c r="L8" s="33" t="s">
        <v>110</v>
      </c>
      <c r="M8" s="33" t="s">
        <v>111</v>
      </c>
    </row>
    <row r="9" spans="2:13" x14ac:dyDescent="0.3">
      <c r="B9" s="21"/>
      <c r="C9" s="32" t="s">
        <v>114</v>
      </c>
      <c r="D9" s="33">
        <v>50000</v>
      </c>
      <c r="E9" s="33">
        <v>55000</v>
      </c>
      <c r="F9" s="33">
        <v>60000</v>
      </c>
      <c r="G9" s="33">
        <v>65000</v>
      </c>
      <c r="H9" s="33">
        <v>70000</v>
      </c>
      <c r="I9" s="33">
        <v>75000</v>
      </c>
      <c r="J9" s="33">
        <v>80000</v>
      </c>
      <c r="K9" s="33">
        <v>85000</v>
      </c>
      <c r="L9" s="33">
        <v>90000</v>
      </c>
      <c r="M9" s="33">
        <v>95000</v>
      </c>
    </row>
    <row r="10" spans="2:13" x14ac:dyDescent="0.3">
      <c r="B10" s="21"/>
      <c r="C10" s="32" t="s">
        <v>115</v>
      </c>
      <c r="D10" s="33">
        <v>2000</v>
      </c>
      <c r="E10" s="33">
        <v>2500</v>
      </c>
      <c r="F10" s="33">
        <v>3000</v>
      </c>
      <c r="G10" s="33">
        <v>3500</v>
      </c>
      <c r="H10" s="33">
        <v>4000</v>
      </c>
      <c r="I10" s="33">
        <v>4500</v>
      </c>
      <c r="J10" s="33">
        <v>5000</v>
      </c>
      <c r="K10" s="33">
        <v>5500</v>
      </c>
      <c r="L10" s="33">
        <v>6000</v>
      </c>
      <c r="M10" s="33">
        <v>6500</v>
      </c>
    </row>
    <row r="11" spans="2:13" x14ac:dyDescent="0.3">
      <c r="B11" s="21"/>
      <c r="C11" s="32" t="s">
        <v>116</v>
      </c>
      <c r="D11" s="33">
        <v>52000</v>
      </c>
      <c r="E11" s="33">
        <v>57500</v>
      </c>
      <c r="F11" s="33">
        <v>63000</v>
      </c>
      <c r="G11" s="33">
        <v>685000</v>
      </c>
      <c r="H11" s="33">
        <v>74000</v>
      </c>
      <c r="I11" s="33">
        <v>79500</v>
      </c>
      <c r="J11" s="33">
        <v>85000</v>
      </c>
      <c r="K11" s="33">
        <v>90500</v>
      </c>
      <c r="L11" s="33">
        <v>96000</v>
      </c>
      <c r="M11" s="33">
        <v>101500</v>
      </c>
    </row>
    <row r="12" spans="2:13" x14ac:dyDescent="0.3">
      <c r="B12" s="111"/>
      <c r="C12" s="111"/>
      <c r="D12" s="21"/>
      <c r="E12" s="21"/>
      <c r="F12" s="21"/>
      <c r="G12" s="21"/>
      <c r="H12" s="21"/>
      <c r="I12" s="21"/>
      <c r="J12" s="21"/>
      <c r="K12" s="21"/>
      <c r="L12" s="21"/>
      <c r="M12" s="21"/>
    </row>
    <row r="13" spans="2:13" x14ac:dyDescent="0.3">
      <c r="B13" s="20">
        <v>1</v>
      </c>
      <c r="C13" s="31" t="s">
        <v>117</v>
      </c>
      <c r="D13" s="21"/>
      <c r="E13" s="21"/>
      <c r="F13" s="21"/>
      <c r="G13" s="21"/>
      <c r="H13" s="21"/>
      <c r="I13" s="21"/>
      <c r="J13" s="21"/>
      <c r="K13" s="21"/>
      <c r="L13" s="21"/>
      <c r="M13" s="21"/>
    </row>
    <row r="14" spans="2:13" x14ac:dyDescent="0.3">
      <c r="B14" s="110"/>
      <c r="C14" s="110"/>
      <c r="D14" s="31"/>
      <c r="E14" s="31"/>
      <c r="F14" s="21"/>
      <c r="G14" s="21"/>
      <c r="H14" s="21"/>
      <c r="I14" s="21"/>
      <c r="J14" s="21"/>
      <c r="K14" s="21"/>
      <c r="L14" s="21"/>
      <c r="M14" s="21"/>
    </row>
    <row r="15" spans="2:13" x14ac:dyDescent="0.3">
      <c r="B15" s="20"/>
      <c r="C15" s="21" t="s">
        <v>118</v>
      </c>
      <c r="D15" s="34"/>
      <c r="E15" s="21"/>
      <c r="F15" s="21"/>
      <c r="G15" s="21"/>
      <c r="H15" s="21"/>
      <c r="I15" s="21"/>
      <c r="J15" s="21"/>
      <c r="K15" s="21"/>
      <c r="L15" s="21"/>
      <c r="M15" s="21"/>
    </row>
    <row r="16" spans="2:13" x14ac:dyDescent="0.3">
      <c r="B16" s="110"/>
      <c r="C16" s="110"/>
      <c r="D16" s="21"/>
      <c r="E16" s="21"/>
      <c r="F16" s="21"/>
      <c r="G16" s="21"/>
      <c r="H16" s="21"/>
      <c r="I16" s="21"/>
      <c r="J16" s="21"/>
      <c r="K16" s="21"/>
      <c r="L16" s="21"/>
      <c r="M16" s="21"/>
    </row>
    <row r="17" spans="2:13" x14ac:dyDescent="0.3">
      <c r="B17" s="20">
        <v>2</v>
      </c>
      <c r="C17" s="31" t="s">
        <v>119</v>
      </c>
      <c r="D17" s="21"/>
      <c r="E17" s="21"/>
      <c r="F17" s="21"/>
      <c r="G17" s="21"/>
      <c r="H17" s="21"/>
      <c r="I17" s="21"/>
      <c r="J17" s="21"/>
      <c r="K17" s="21"/>
      <c r="L17" s="21"/>
      <c r="M17" s="21"/>
    </row>
    <row r="18" spans="2:13" x14ac:dyDescent="0.3">
      <c r="B18" s="110"/>
      <c r="C18" s="110"/>
      <c r="D18" s="31"/>
      <c r="E18" s="31"/>
      <c r="F18" s="21"/>
      <c r="G18" s="21"/>
      <c r="H18" s="21"/>
      <c r="I18" s="21"/>
      <c r="J18" s="21"/>
      <c r="K18" s="21"/>
      <c r="L18" s="21"/>
      <c r="M18" s="21"/>
    </row>
    <row r="19" spans="2:13" x14ac:dyDescent="0.3">
      <c r="B19" s="20"/>
      <c r="C19" s="21" t="s">
        <v>118</v>
      </c>
      <c r="D19" s="34"/>
      <c r="E19" s="21"/>
      <c r="F19" s="21"/>
      <c r="G19" s="21"/>
      <c r="H19" s="21"/>
      <c r="I19" s="21"/>
      <c r="J19" s="21"/>
      <c r="K19" s="21"/>
      <c r="L19" s="21"/>
      <c r="M19" s="21"/>
    </row>
    <row r="20" spans="2:13" x14ac:dyDescent="0.3">
      <c r="B20" s="110"/>
      <c r="C20" s="110"/>
      <c r="D20" s="21"/>
      <c r="E20" s="21"/>
      <c r="F20" s="21"/>
      <c r="G20" s="21"/>
      <c r="H20" s="21"/>
      <c r="I20" s="21"/>
      <c r="J20" s="21"/>
      <c r="K20" s="21"/>
      <c r="L20" s="21"/>
      <c r="M20" s="21"/>
    </row>
    <row r="21" spans="2:13" x14ac:dyDescent="0.3">
      <c r="B21" s="110"/>
      <c r="C21" s="110"/>
      <c r="D21" s="21"/>
      <c r="E21" s="21"/>
      <c r="F21" s="21"/>
      <c r="G21" s="21"/>
      <c r="H21" s="21"/>
      <c r="I21" s="21"/>
      <c r="J21" s="21"/>
      <c r="K21" s="21"/>
      <c r="L21" s="21"/>
      <c r="M21" s="21"/>
    </row>
    <row r="22" spans="2:13" x14ac:dyDescent="0.3">
      <c r="B22" s="20">
        <v>3</v>
      </c>
      <c r="C22" s="31" t="s">
        <v>120</v>
      </c>
      <c r="D22" s="31"/>
      <c r="E22" s="31"/>
      <c r="F22" s="21"/>
      <c r="G22" s="21"/>
      <c r="H22" s="21"/>
      <c r="I22" s="21"/>
      <c r="J22" s="21"/>
      <c r="K22" s="21"/>
      <c r="L22" s="21"/>
      <c r="M22" s="21"/>
    </row>
    <row r="23" spans="2:13" x14ac:dyDescent="0.3">
      <c r="B23" s="20"/>
      <c r="C23" s="20" t="s">
        <v>118</v>
      </c>
      <c r="D23" s="34"/>
      <c r="E23" s="21"/>
      <c r="F23" s="21"/>
      <c r="G23" s="21"/>
      <c r="H23" s="21"/>
      <c r="I23" s="21"/>
      <c r="J23" s="21"/>
      <c r="K23" s="21"/>
      <c r="L23" s="21"/>
      <c r="M23" s="21"/>
    </row>
    <row r="24" spans="2:13" x14ac:dyDescent="0.3">
      <c r="B24" s="110"/>
      <c r="C24" s="110"/>
      <c r="D24" s="21"/>
      <c r="E24" s="21"/>
      <c r="F24" s="21"/>
      <c r="G24" s="21"/>
      <c r="H24" s="21"/>
      <c r="I24" s="21"/>
      <c r="J24" s="21"/>
      <c r="K24" s="21"/>
      <c r="L24" s="21"/>
      <c r="M24" s="21"/>
    </row>
    <row r="25" spans="2:13" x14ac:dyDescent="0.3">
      <c r="B25" s="110"/>
      <c r="C25" s="110"/>
      <c r="D25" s="21"/>
      <c r="E25" s="21"/>
      <c r="F25" s="21"/>
      <c r="G25" s="21"/>
      <c r="H25" s="21"/>
      <c r="I25" s="21"/>
      <c r="J25" s="21"/>
      <c r="K25" s="21"/>
      <c r="L25" s="21"/>
      <c r="M25" s="21"/>
    </row>
  </sheetData>
  <mergeCells count="9">
    <mergeCell ref="B21:C21"/>
    <mergeCell ref="B24:C24"/>
    <mergeCell ref="B25:C25"/>
    <mergeCell ref="B4:C4"/>
    <mergeCell ref="B12:C12"/>
    <mergeCell ref="B14:C14"/>
    <mergeCell ref="B16:C16"/>
    <mergeCell ref="B18:C18"/>
    <mergeCell ref="B20:C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AAD32-DA78-4CFE-9801-7293CE40FFDE}">
  <dimension ref="C2:G15"/>
  <sheetViews>
    <sheetView workbookViewId="0">
      <selection activeCell="F14" sqref="F14"/>
    </sheetView>
  </sheetViews>
  <sheetFormatPr defaultRowHeight="14.4" x14ac:dyDescent="0.3"/>
  <cols>
    <col min="3" max="3" width="118.44140625" bestFit="1" customWidth="1"/>
  </cols>
  <sheetData>
    <row r="2" spans="3:7" x14ac:dyDescent="0.3">
      <c r="C2" s="27" t="s">
        <v>121</v>
      </c>
    </row>
    <row r="5" spans="3:7" x14ac:dyDescent="0.3">
      <c r="C5" s="35" t="s">
        <v>122</v>
      </c>
      <c r="D5" s="7"/>
      <c r="E5" s="7"/>
      <c r="F5" s="7"/>
      <c r="G5" s="7"/>
    </row>
    <row r="6" spans="3:7" x14ac:dyDescent="0.3">
      <c r="C6" s="7" t="s">
        <v>123</v>
      </c>
      <c r="D6" s="7"/>
      <c r="E6" s="7"/>
      <c r="F6" s="7"/>
      <c r="G6" s="7"/>
    </row>
    <row r="7" spans="3:7" x14ac:dyDescent="0.3">
      <c r="C7" s="7" t="s">
        <v>124</v>
      </c>
      <c r="D7" s="7"/>
      <c r="E7" s="7"/>
      <c r="F7" s="7"/>
      <c r="G7" s="7"/>
    </row>
    <row r="8" spans="3:7" x14ac:dyDescent="0.3">
      <c r="C8" s="7" t="s">
        <v>125</v>
      </c>
      <c r="D8" s="7"/>
      <c r="E8" s="7"/>
      <c r="F8" s="7"/>
      <c r="G8" s="7"/>
    </row>
    <row r="9" spans="3:7" x14ac:dyDescent="0.3">
      <c r="C9" s="7"/>
      <c r="D9" s="7"/>
      <c r="E9" s="7"/>
      <c r="F9" s="7"/>
      <c r="G9" s="7"/>
    </row>
    <row r="10" spans="3:7" x14ac:dyDescent="0.3">
      <c r="C10" s="36" t="s">
        <v>1</v>
      </c>
      <c r="D10" s="36" t="s">
        <v>126</v>
      </c>
      <c r="E10" s="36" t="s">
        <v>127</v>
      </c>
      <c r="F10" s="7"/>
      <c r="G10" s="7"/>
    </row>
    <row r="11" spans="3:7" x14ac:dyDescent="0.3">
      <c r="C11" s="2" t="s">
        <v>128</v>
      </c>
      <c r="D11" s="2">
        <v>98</v>
      </c>
      <c r="E11" s="37" t="str">
        <f>IF(D11&gt;=60,"Pass","Fail")</f>
        <v>Pass</v>
      </c>
      <c r="F11" s="7"/>
      <c r="G11" s="7"/>
    </row>
    <row r="12" spans="3:7" x14ac:dyDescent="0.3">
      <c r="C12" s="2" t="s">
        <v>129</v>
      </c>
      <c r="D12" s="2">
        <v>55</v>
      </c>
      <c r="E12" s="37" t="str">
        <f t="shared" ref="E12:E14" si="0">IF(D12&gt;=60,"Pass","Fail")</f>
        <v>Fail</v>
      </c>
      <c r="F12" s="7"/>
      <c r="G12" s="7"/>
    </row>
    <row r="13" spans="3:7" x14ac:dyDescent="0.3">
      <c r="C13" s="2" t="s">
        <v>130</v>
      </c>
      <c r="D13" s="2">
        <v>15</v>
      </c>
      <c r="E13" s="37" t="str">
        <f t="shared" si="0"/>
        <v>Fail</v>
      </c>
      <c r="F13" s="7"/>
      <c r="G13" s="7"/>
    </row>
    <row r="14" spans="3:7" x14ac:dyDescent="0.3">
      <c r="C14" s="2" t="s">
        <v>131</v>
      </c>
      <c r="D14" s="2">
        <v>60</v>
      </c>
      <c r="E14" s="37" t="str">
        <f t="shared" si="0"/>
        <v>Pass</v>
      </c>
      <c r="F14" s="7"/>
      <c r="G14" s="7"/>
    </row>
    <row r="15" spans="3:7" x14ac:dyDescent="0.3">
      <c r="C15" s="7"/>
      <c r="D15" s="7"/>
      <c r="E15" s="7"/>
      <c r="F15" s="7"/>
      <c r="G15"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0DCB8-6390-4EC9-A48C-47880F9F2B63}">
  <dimension ref="C1:I13"/>
  <sheetViews>
    <sheetView workbookViewId="0">
      <selection activeCell="J13" sqref="J13"/>
    </sheetView>
  </sheetViews>
  <sheetFormatPr defaultRowHeight="14.4" x14ac:dyDescent="0.3"/>
  <cols>
    <col min="3" max="3" width="76.5546875" customWidth="1"/>
    <col min="6" max="6" width="11.5546875" bestFit="1" customWidth="1"/>
  </cols>
  <sheetData>
    <row r="1" spans="3:9" ht="43.2" x14ac:dyDescent="0.3">
      <c r="C1" s="12" t="s">
        <v>132</v>
      </c>
    </row>
    <row r="4" spans="3:9" x14ac:dyDescent="0.3">
      <c r="C4" s="35" t="s">
        <v>133</v>
      </c>
      <c r="D4" s="1"/>
      <c r="E4" s="1"/>
      <c r="F4" s="1"/>
      <c r="G4" s="1"/>
    </row>
    <row r="5" spans="3:9" x14ac:dyDescent="0.3">
      <c r="C5" s="38" t="s">
        <v>134</v>
      </c>
      <c r="D5" s="1"/>
      <c r="E5" s="1"/>
      <c r="F5" s="1"/>
      <c r="G5" s="1"/>
    </row>
    <row r="6" spans="3:9" x14ac:dyDescent="0.3">
      <c r="C6" s="35" t="s">
        <v>135</v>
      </c>
      <c r="D6" s="1"/>
      <c r="E6" s="1"/>
      <c r="F6" s="1"/>
      <c r="G6" s="1"/>
    </row>
    <row r="7" spans="3:9" x14ac:dyDescent="0.3">
      <c r="C7" s="39"/>
      <c r="D7" s="1"/>
      <c r="E7" s="1"/>
      <c r="F7" s="1"/>
      <c r="G7" s="1"/>
    </row>
    <row r="8" spans="3:9" x14ac:dyDescent="0.3">
      <c r="C8" s="1"/>
      <c r="D8" s="7" t="s">
        <v>4</v>
      </c>
      <c r="E8" s="7" t="s">
        <v>5</v>
      </c>
      <c r="F8" s="1"/>
      <c r="G8" s="1"/>
    </row>
    <row r="9" spans="3:9" x14ac:dyDescent="0.3">
      <c r="C9" s="2"/>
      <c r="D9" s="2" t="s">
        <v>136</v>
      </c>
      <c r="E9" s="2" t="s">
        <v>137</v>
      </c>
      <c r="F9" s="36" t="s">
        <v>138</v>
      </c>
      <c r="G9" s="1"/>
      <c r="H9" s="45" t="s">
        <v>170</v>
      </c>
      <c r="I9" s="45" t="s">
        <v>171</v>
      </c>
    </row>
    <row r="10" spans="3:9" x14ac:dyDescent="0.3">
      <c r="C10" s="2" t="s">
        <v>139</v>
      </c>
      <c r="D10" s="2" t="s">
        <v>140</v>
      </c>
      <c r="E10" s="2" t="s">
        <v>141</v>
      </c>
      <c r="F10" s="37" t="str">
        <f>IF(D10=E10,"Match","No Match")</f>
        <v>No Match</v>
      </c>
      <c r="G10" s="7"/>
      <c r="H10">
        <f>LEN(D10)</f>
        <v>7</v>
      </c>
      <c r="I10" cm="1">
        <f t="array" ref="I10:I13">LEN(E10:E13)</f>
        <v>8</v>
      </c>
    </row>
    <row r="11" spans="3:9" x14ac:dyDescent="0.3">
      <c r="C11" s="2" t="s">
        <v>142</v>
      </c>
      <c r="D11" s="2" t="s">
        <v>143</v>
      </c>
      <c r="E11" s="2" t="s">
        <v>144</v>
      </c>
      <c r="F11" s="37" t="str">
        <f t="shared" ref="F11:F13" si="0">IF(D11=E11,"Match","No Match")</f>
        <v>No Match</v>
      </c>
      <c r="G11" s="7"/>
      <c r="H11">
        <f t="shared" ref="H11:H13" si="1">LEN(D11)</f>
        <v>8</v>
      </c>
      <c r="I11">
        <v>9</v>
      </c>
    </row>
    <row r="12" spans="3:9" x14ac:dyDescent="0.3">
      <c r="C12" s="2" t="s">
        <v>145</v>
      </c>
      <c r="D12" s="2" t="s">
        <v>146</v>
      </c>
      <c r="E12" s="2" t="s">
        <v>147</v>
      </c>
      <c r="F12" s="37" t="str">
        <f t="shared" si="0"/>
        <v>No Match</v>
      </c>
      <c r="G12" s="7"/>
      <c r="H12">
        <f t="shared" si="1"/>
        <v>7</v>
      </c>
      <c r="I12">
        <v>8</v>
      </c>
    </row>
    <row r="13" spans="3:9" x14ac:dyDescent="0.3">
      <c r="C13" s="2" t="s">
        <v>148</v>
      </c>
      <c r="D13" s="2" t="s">
        <v>149</v>
      </c>
      <c r="E13" s="2" t="s">
        <v>150</v>
      </c>
      <c r="F13" s="37" t="str">
        <f t="shared" si="0"/>
        <v>No Match</v>
      </c>
      <c r="G13" s="7"/>
      <c r="H13">
        <f t="shared" si="1"/>
        <v>7</v>
      </c>
      <c r="I13">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CFC55-A62A-49F7-AC5F-E8483381D452}">
  <dimension ref="B2:I21"/>
  <sheetViews>
    <sheetView workbookViewId="0">
      <selection activeCell="H18" sqref="H18"/>
    </sheetView>
  </sheetViews>
  <sheetFormatPr defaultRowHeight="14.4" x14ac:dyDescent="0.3"/>
  <cols>
    <col min="2" max="2" width="2" bestFit="1" customWidth="1"/>
    <col min="3" max="3" width="71.44140625" customWidth="1"/>
    <col min="5" max="5" width="47.6640625" customWidth="1"/>
    <col min="6" max="6" width="12.6640625" bestFit="1" customWidth="1"/>
    <col min="7" max="7" width="12.44140625" bestFit="1" customWidth="1"/>
  </cols>
  <sheetData>
    <row r="2" spans="2:9" ht="57.6" x14ac:dyDescent="0.3">
      <c r="C2" s="12" t="s">
        <v>151</v>
      </c>
      <c r="E2" s="12" t="s">
        <v>169</v>
      </c>
    </row>
    <row r="5" spans="2:9" x14ac:dyDescent="0.3">
      <c r="B5" s="1"/>
      <c r="C5" s="7" t="s">
        <v>152</v>
      </c>
      <c r="D5" s="1"/>
      <c r="E5" s="1"/>
      <c r="F5" s="1"/>
      <c r="G5" s="1"/>
      <c r="H5" s="1"/>
      <c r="I5" s="1"/>
    </row>
    <row r="6" spans="2:9" x14ac:dyDescent="0.3">
      <c r="B6" s="40">
        <v>1</v>
      </c>
      <c r="C6" s="41" t="s">
        <v>153</v>
      </c>
      <c r="D6" s="1"/>
      <c r="E6" s="1"/>
      <c r="F6" s="1"/>
      <c r="G6" s="1"/>
      <c r="H6" s="1"/>
      <c r="I6" s="1"/>
    </row>
    <row r="7" spans="2:9" x14ac:dyDescent="0.3">
      <c r="B7" s="112"/>
      <c r="C7" s="112"/>
      <c r="D7" s="1"/>
      <c r="E7" s="1"/>
      <c r="F7" s="1"/>
      <c r="G7" s="1"/>
      <c r="H7" s="1"/>
      <c r="I7" s="1"/>
    </row>
    <row r="8" spans="2:9" x14ac:dyDescent="0.3">
      <c r="B8" s="40">
        <v>2</v>
      </c>
      <c r="C8" s="41" t="s">
        <v>154</v>
      </c>
      <c r="D8" s="1"/>
      <c r="E8" s="1"/>
      <c r="F8" s="1"/>
      <c r="G8" s="1"/>
      <c r="H8" s="1"/>
      <c r="I8" s="1"/>
    </row>
    <row r="9" spans="2:9" x14ac:dyDescent="0.3">
      <c r="B9" s="112"/>
      <c r="C9" s="112"/>
      <c r="D9" s="1"/>
      <c r="E9" s="1"/>
      <c r="F9" s="1"/>
      <c r="G9" s="1"/>
      <c r="H9" s="1"/>
      <c r="I9" s="1"/>
    </row>
    <row r="10" spans="2:9" x14ac:dyDescent="0.3">
      <c r="B10" s="112"/>
      <c r="C10" s="112"/>
      <c r="D10" s="1"/>
      <c r="E10" s="1"/>
      <c r="F10" s="1"/>
      <c r="G10" s="1"/>
      <c r="H10" s="1"/>
      <c r="I10" s="1"/>
    </row>
    <row r="11" spans="2:9" x14ac:dyDescent="0.3">
      <c r="B11" s="108"/>
      <c r="C11" s="108"/>
      <c r="D11" s="1"/>
      <c r="E11" s="1"/>
      <c r="F11" s="2" t="s">
        <v>155</v>
      </c>
      <c r="G11" s="2" t="s">
        <v>156</v>
      </c>
      <c r="H11" s="1"/>
      <c r="I11" s="1"/>
    </row>
    <row r="12" spans="2:9" x14ac:dyDescent="0.3">
      <c r="B12" s="1"/>
      <c r="C12" s="42" t="s">
        <v>157</v>
      </c>
      <c r="D12" s="42" t="s">
        <v>1</v>
      </c>
      <c r="E12" s="43" t="s">
        <v>158</v>
      </c>
      <c r="F12" s="42" t="s">
        <v>159</v>
      </c>
      <c r="G12" s="42" t="s">
        <v>160</v>
      </c>
      <c r="H12" s="1"/>
      <c r="I12" s="7"/>
    </row>
    <row r="13" spans="2:9" x14ac:dyDescent="0.3">
      <c r="B13" s="1"/>
      <c r="C13" s="2">
        <v>1</v>
      </c>
      <c r="D13" s="2" t="s">
        <v>161</v>
      </c>
      <c r="E13" s="44">
        <v>16</v>
      </c>
      <c r="F13" s="37" t="str">
        <f>IF(E13&gt;=16,"Eligible","Not Eligible")</f>
        <v>Eligible</v>
      </c>
      <c r="G13" s="37" t="str">
        <f>IF(E13&lt;18,"Minor","Adult")</f>
        <v>Minor</v>
      </c>
      <c r="H13" s="1"/>
      <c r="I13" s="7"/>
    </row>
    <row r="14" spans="2:9" x14ac:dyDescent="0.3">
      <c r="B14" s="1"/>
      <c r="C14" s="2">
        <v>2</v>
      </c>
      <c r="D14" s="2" t="s">
        <v>162</v>
      </c>
      <c r="E14" s="44">
        <v>18</v>
      </c>
      <c r="F14" s="37" t="str">
        <f t="shared" ref="F14:F20" si="0">IF(E14&gt;=16,"Eligible","Not Eligible")</f>
        <v>Eligible</v>
      </c>
      <c r="G14" s="37" t="str">
        <f t="shared" ref="G14:G20" si="1">IF(E14&lt;18,"Minor","Adult")</f>
        <v>Adult</v>
      </c>
      <c r="H14" s="1"/>
      <c r="I14" s="7"/>
    </row>
    <row r="15" spans="2:9" x14ac:dyDescent="0.3">
      <c r="B15" s="1"/>
      <c r="C15" s="2">
        <v>3</v>
      </c>
      <c r="D15" s="2" t="s">
        <v>163</v>
      </c>
      <c r="E15" s="44">
        <v>15.5</v>
      </c>
      <c r="F15" s="37" t="str">
        <f t="shared" si="0"/>
        <v>Not Eligible</v>
      </c>
      <c r="G15" s="37" t="str">
        <f t="shared" si="1"/>
        <v>Minor</v>
      </c>
      <c r="H15" s="1"/>
      <c r="I15" s="7"/>
    </row>
    <row r="16" spans="2:9" x14ac:dyDescent="0.3">
      <c r="B16" s="1"/>
      <c r="C16" s="2">
        <v>4</v>
      </c>
      <c r="D16" s="2" t="s">
        <v>164</v>
      </c>
      <c r="E16" s="44">
        <v>19</v>
      </c>
      <c r="F16" s="37" t="str">
        <f t="shared" si="0"/>
        <v>Eligible</v>
      </c>
      <c r="G16" s="37" t="str">
        <f t="shared" si="1"/>
        <v>Adult</v>
      </c>
      <c r="H16" s="1"/>
      <c r="I16" s="7"/>
    </row>
    <row r="17" spans="2:9" x14ac:dyDescent="0.3">
      <c r="B17" s="1"/>
      <c r="C17" s="2">
        <v>5</v>
      </c>
      <c r="D17" s="2" t="s">
        <v>165</v>
      </c>
      <c r="E17" s="44">
        <v>18</v>
      </c>
      <c r="F17" s="37" t="str">
        <f t="shared" si="0"/>
        <v>Eligible</v>
      </c>
      <c r="G17" s="37" t="str">
        <f t="shared" si="1"/>
        <v>Adult</v>
      </c>
      <c r="H17" s="1"/>
      <c r="I17" s="7"/>
    </row>
    <row r="18" spans="2:9" x14ac:dyDescent="0.3">
      <c r="B18" s="1"/>
      <c r="C18" s="2">
        <v>6</v>
      </c>
      <c r="D18" s="2" t="s">
        <v>166</v>
      </c>
      <c r="E18" s="44">
        <v>13</v>
      </c>
      <c r="F18" s="37" t="str">
        <f t="shared" si="0"/>
        <v>Not Eligible</v>
      </c>
      <c r="G18" s="37" t="str">
        <f t="shared" si="1"/>
        <v>Minor</v>
      </c>
      <c r="H18" s="1"/>
      <c r="I18" s="7"/>
    </row>
    <row r="19" spans="2:9" x14ac:dyDescent="0.3">
      <c r="B19" s="1"/>
      <c r="C19" s="2">
        <v>7</v>
      </c>
      <c r="D19" s="2" t="s">
        <v>167</v>
      </c>
      <c r="E19" s="44">
        <v>18</v>
      </c>
      <c r="F19" s="37" t="str">
        <f t="shared" si="0"/>
        <v>Eligible</v>
      </c>
      <c r="G19" s="37" t="str">
        <f t="shared" si="1"/>
        <v>Adult</v>
      </c>
      <c r="H19" s="1"/>
      <c r="I19" s="7"/>
    </row>
    <row r="20" spans="2:9" x14ac:dyDescent="0.3">
      <c r="B20" s="1"/>
      <c r="C20" s="2">
        <v>8</v>
      </c>
      <c r="D20" s="2" t="s">
        <v>168</v>
      </c>
      <c r="E20" s="44">
        <v>17</v>
      </c>
      <c r="F20" s="37" t="str">
        <f t="shared" si="0"/>
        <v>Eligible</v>
      </c>
      <c r="G20" s="37" t="str">
        <f t="shared" si="1"/>
        <v>Minor</v>
      </c>
      <c r="H20" s="1"/>
      <c r="I20" s="7"/>
    </row>
    <row r="21" spans="2:9" x14ac:dyDescent="0.3">
      <c r="B21" s="108"/>
      <c r="C21" s="108"/>
      <c r="D21" s="1"/>
      <c r="E21" s="1"/>
      <c r="F21" s="1"/>
      <c r="G21" s="1"/>
      <c r="H21" s="1"/>
      <c r="I21" s="1"/>
    </row>
  </sheetData>
  <mergeCells count="5">
    <mergeCell ref="B7:C7"/>
    <mergeCell ref="B9:C9"/>
    <mergeCell ref="B10:C10"/>
    <mergeCell ref="B11:C11"/>
    <mergeCell ref="B21:C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DE06-16AC-4376-AFAE-69CD27CC5505}">
  <dimension ref="C1:G20"/>
  <sheetViews>
    <sheetView workbookViewId="0">
      <selection activeCell="H15" sqref="H15"/>
    </sheetView>
  </sheetViews>
  <sheetFormatPr defaultRowHeight="14.4" x14ac:dyDescent="0.3"/>
  <cols>
    <col min="3" max="3" width="62.77734375" customWidth="1"/>
    <col min="6" max="6" width="0.109375" customWidth="1"/>
    <col min="7" max="7" width="10.33203125" customWidth="1"/>
  </cols>
  <sheetData>
    <row r="1" spans="3:7" ht="57.6" customHeight="1" x14ac:dyDescent="0.3">
      <c r="C1" s="107" t="s">
        <v>172</v>
      </c>
      <c r="D1" s="107"/>
      <c r="E1" s="107"/>
      <c r="F1" s="107"/>
    </row>
    <row r="4" spans="3:7" x14ac:dyDescent="0.3">
      <c r="C4" s="7" t="s">
        <v>173</v>
      </c>
      <c r="D4" s="7"/>
      <c r="E4" s="7"/>
      <c r="F4" s="7"/>
    </row>
    <row r="5" spans="3:7" x14ac:dyDescent="0.3">
      <c r="C5" s="7"/>
      <c r="D5" s="7"/>
      <c r="E5" s="7"/>
      <c r="F5" s="7"/>
    </row>
    <row r="6" spans="3:7" x14ac:dyDescent="0.3">
      <c r="C6" s="7"/>
      <c r="D6" s="7" t="s">
        <v>61</v>
      </c>
      <c r="E6" s="7"/>
      <c r="F6" s="7"/>
    </row>
    <row r="7" spans="3:7" x14ac:dyDescent="0.3">
      <c r="C7" s="2" t="s">
        <v>174</v>
      </c>
      <c r="D7" s="46">
        <v>1</v>
      </c>
      <c r="E7" s="7"/>
      <c r="F7" s="7"/>
    </row>
    <row r="8" spans="3:7" x14ac:dyDescent="0.3">
      <c r="C8" s="2" t="s">
        <v>175</v>
      </c>
      <c r="D8" s="46">
        <v>0.5</v>
      </c>
      <c r="E8" s="7"/>
      <c r="F8" s="7"/>
    </row>
    <row r="9" spans="3:7" x14ac:dyDescent="0.3">
      <c r="C9" s="7"/>
      <c r="D9" s="7"/>
      <c r="E9" s="7"/>
      <c r="F9" s="7"/>
    </row>
    <row r="10" spans="3:7" x14ac:dyDescent="0.3">
      <c r="C10" s="7" t="s">
        <v>176</v>
      </c>
      <c r="D10" s="7"/>
      <c r="E10" s="7"/>
      <c r="F10" s="7"/>
    </row>
    <row r="11" spans="3:7" x14ac:dyDescent="0.3">
      <c r="C11" s="7" t="s">
        <v>177</v>
      </c>
      <c r="D11" s="7"/>
      <c r="E11" s="7"/>
      <c r="F11" s="7"/>
    </row>
    <row r="12" spans="3:7" x14ac:dyDescent="0.3">
      <c r="C12" s="7"/>
      <c r="D12" s="7"/>
      <c r="E12" s="7"/>
      <c r="F12" s="7"/>
    </row>
    <row r="13" spans="3:7" x14ac:dyDescent="0.3">
      <c r="C13" s="36" t="s">
        <v>1</v>
      </c>
      <c r="D13" s="47" t="s">
        <v>178</v>
      </c>
      <c r="E13" s="48" t="s">
        <v>179</v>
      </c>
      <c r="F13" s="48" t="s">
        <v>180</v>
      </c>
      <c r="G13" s="49"/>
    </row>
    <row r="14" spans="3:7" x14ac:dyDescent="0.3">
      <c r="C14" s="2" t="s">
        <v>181</v>
      </c>
      <c r="D14" s="44" t="s">
        <v>174</v>
      </c>
      <c r="E14" s="50">
        <v>46866</v>
      </c>
      <c r="F14" s="51"/>
      <c r="G14" s="52" t="str">
        <f>IF(D14="A+","100%","50%")</f>
        <v>100%</v>
      </c>
    </row>
    <row r="15" spans="3:7" x14ac:dyDescent="0.3">
      <c r="C15" s="2" t="s">
        <v>182</v>
      </c>
      <c r="D15" s="44" t="s">
        <v>175</v>
      </c>
      <c r="E15" s="50">
        <v>33495</v>
      </c>
      <c r="F15" s="51"/>
      <c r="G15" s="52" t="str">
        <f t="shared" ref="G15:G20" si="0">IF(D15="A+","100%","50%")</f>
        <v>50%</v>
      </c>
    </row>
    <row r="16" spans="3:7" x14ac:dyDescent="0.3">
      <c r="C16" s="2" t="s">
        <v>183</v>
      </c>
      <c r="D16" s="44" t="s">
        <v>175</v>
      </c>
      <c r="E16" s="50">
        <v>35087</v>
      </c>
      <c r="F16" s="51"/>
      <c r="G16" s="52" t="str">
        <f t="shared" si="0"/>
        <v>50%</v>
      </c>
    </row>
    <row r="17" spans="3:7" x14ac:dyDescent="0.3">
      <c r="C17" s="2" t="s">
        <v>184</v>
      </c>
      <c r="D17" s="44" t="s">
        <v>174</v>
      </c>
      <c r="E17" s="50">
        <v>42603</v>
      </c>
      <c r="F17" s="51"/>
      <c r="G17" s="52" t="str">
        <f t="shared" si="0"/>
        <v>100%</v>
      </c>
    </row>
    <row r="18" spans="3:7" x14ac:dyDescent="0.3">
      <c r="C18" s="2" t="s">
        <v>165</v>
      </c>
      <c r="D18" s="44" t="s">
        <v>175</v>
      </c>
      <c r="E18" s="50">
        <v>36971</v>
      </c>
      <c r="F18" s="51"/>
      <c r="G18" s="52" t="str">
        <f t="shared" si="0"/>
        <v>50%</v>
      </c>
    </row>
    <row r="19" spans="3:7" x14ac:dyDescent="0.3">
      <c r="C19" s="2" t="s">
        <v>185</v>
      </c>
      <c r="D19" s="44" t="s">
        <v>174</v>
      </c>
      <c r="E19" s="50">
        <v>41286</v>
      </c>
      <c r="F19" s="51"/>
      <c r="G19" s="52" t="str">
        <f t="shared" si="0"/>
        <v>100%</v>
      </c>
    </row>
    <row r="20" spans="3:7" x14ac:dyDescent="0.3">
      <c r="C20" s="2" t="s">
        <v>186</v>
      </c>
      <c r="D20" s="44" t="s">
        <v>175</v>
      </c>
      <c r="E20" s="50">
        <v>37732</v>
      </c>
      <c r="F20" s="51"/>
      <c r="G20" s="52" t="str">
        <f t="shared" si="0"/>
        <v>50%</v>
      </c>
    </row>
  </sheetData>
  <mergeCells count="1">
    <mergeCell ref="C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5FE28-8414-446D-975F-CA07D40F905E}">
  <dimension ref="C1:I29"/>
  <sheetViews>
    <sheetView workbookViewId="0">
      <selection activeCell="F27" sqref="F27:F28"/>
    </sheetView>
  </sheetViews>
  <sheetFormatPr defaultRowHeight="14.4" x14ac:dyDescent="0.3"/>
  <cols>
    <col min="3" max="3" width="43.6640625" customWidth="1"/>
  </cols>
  <sheetData>
    <row r="1" spans="3:9" ht="43.2" x14ac:dyDescent="0.3">
      <c r="C1" s="12" t="s">
        <v>187</v>
      </c>
    </row>
    <row r="4" spans="3:9" x14ac:dyDescent="0.3">
      <c r="C4" s="6" t="s">
        <v>188</v>
      </c>
      <c r="D4" s="7"/>
      <c r="E4" s="7"/>
      <c r="F4" s="7"/>
      <c r="G4" s="7"/>
      <c r="H4" s="7"/>
      <c r="I4" s="7"/>
    </row>
    <row r="5" spans="3:9" x14ac:dyDescent="0.3">
      <c r="C5" s="7" t="s">
        <v>189</v>
      </c>
      <c r="D5" s="7"/>
      <c r="E5" s="7"/>
      <c r="F5" s="7"/>
      <c r="G5" s="7"/>
      <c r="H5" s="7"/>
      <c r="I5" s="7"/>
    </row>
    <row r="6" spans="3:9" x14ac:dyDescent="0.3">
      <c r="C6" s="7" t="s">
        <v>190</v>
      </c>
      <c r="D6" s="7" t="s">
        <v>191</v>
      </c>
      <c r="E6" s="7"/>
      <c r="F6" s="7"/>
      <c r="G6" s="7"/>
      <c r="H6" s="7"/>
      <c r="I6" s="7"/>
    </row>
    <row r="7" spans="3:9" x14ac:dyDescent="0.3">
      <c r="C7" s="7" t="s">
        <v>192</v>
      </c>
      <c r="D7" s="7" t="s">
        <v>193</v>
      </c>
      <c r="E7" s="7"/>
      <c r="F7" s="7"/>
      <c r="G7" s="7"/>
      <c r="H7" s="7"/>
      <c r="I7" s="7"/>
    </row>
    <row r="8" spans="3:9" x14ac:dyDescent="0.3">
      <c r="C8" s="7" t="s">
        <v>194</v>
      </c>
      <c r="D8" s="7" t="s">
        <v>195</v>
      </c>
      <c r="E8" s="7"/>
      <c r="F8" s="7"/>
      <c r="G8" s="7"/>
      <c r="H8" s="7"/>
      <c r="I8" s="7"/>
    </row>
    <row r="9" spans="3:9" x14ac:dyDescent="0.3">
      <c r="C9" s="7" t="s">
        <v>196</v>
      </c>
      <c r="D9" s="7" t="s">
        <v>197</v>
      </c>
      <c r="E9" s="7"/>
      <c r="F9" s="7"/>
      <c r="G9" s="7"/>
      <c r="H9" s="7"/>
      <c r="I9" s="7"/>
    </row>
    <row r="10" spans="3:9" x14ac:dyDescent="0.3">
      <c r="C10" s="7" t="s">
        <v>198</v>
      </c>
      <c r="D10" s="7" t="s">
        <v>199</v>
      </c>
      <c r="E10" s="7"/>
      <c r="F10" s="7"/>
      <c r="G10" s="7"/>
      <c r="H10" s="7"/>
      <c r="I10" s="7"/>
    </row>
    <row r="11" spans="3:9" x14ac:dyDescent="0.3">
      <c r="C11" s="7" t="s">
        <v>200</v>
      </c>
      <c r="D11" s="7" t="s">
        <v>201</v>
      </c>
      <c r="E11" s="7"/>
      <c r="F11" s="7"/>
      <c r="G11" s="7"/>
      <c r="H11" s="7"/>
      <c r="I11" s="7"/>
    </row>
    <row r="12" spans="3:9" x14ac:dyDescent="0.3">
      <c r="C12" s="7"/>
      <c r="D12" s="7"/>
      <c r="E12" s="7"/>
      <c r="F12" s="7"/>
      <c r="G12" s="7"/>
      <c r="H12" s="7"/>
      <c r="I12" s="7"/>
    </row>
    <row r="13" spans="3:9" x14ac:dyDescent="0.3">
      <c r="C13" s="39" t="s">
        <v>202</v>
      </c>
      <c r="D13" s="7"/>
      <c r="E13" s="7"/>
      <c r="F13" s="7"/>
      <c r="G13" s="7"/>
      <c r="H13" s="7"/>
      <c r="I13" s="7"/>
    </row>
    <row r="14" spans="3:9" x14ac:dyDescent="0.3">
      <c r="C14" s="7">
        <v>2</v>
      </c>
      <c r="D14" s="7" t="s">
        <v>203</v>
      </c>
      <c r="E14" s="7">
        <v>3</v>
      </c>
      <c r="F14" s="11">
        <f>2+3</f>
        <v>5</v>
      </c>
      <c r="G14" s="7"/>
      <c r="H14" s="7"/>
      <c r="I14" s="7"/>
    </row>
    <row r="15" spans="3:9" x14ac:dyDescent="0.3">
      <c r="C15" s="7">
        <v>3</v>
      </c>
      <c r="D15" s="7" t="s">
        <v>204</v>
      </c>
      <c r="E15" s="7">
        <v>1</v>
      </c>
      <c r="F15" s="11">
        <f>3-1</f>
        <v>2</v>
      </c>
      <c r="G15" s="7"/>
      <c r="H15" s="7"/>
      <c r="I15" s="7"/>
    </row>
    <row r="16" spans="3:9" x14ac:dyDescent="0.3">
      <c r="C16" s="7">
        <v>5</v>
      </c>
      <c r="D16" s="7" t="s">
        <v>205</v>
      </c>
      <c r="E16" s="7">
        <v>10</v>
      </c>
      <c r="F16" s="11">
        <f>5*10</f>
        <v>50</v>
      </c>
      <c r="G16" s="7"/>
      <c r="H16" s="7"/>
      <c r="I16" s="7"/>
    </row>
    <row r="17" spans="3:9" x14ac:dyDescent="0.3">
      <c r="C17" s="7">
        <v>10</v>
      </c>
      <c r="D17" s="7" t="s">
        <v>206</v>
      </c>
      <c r="E17" s="7">
        <v>2</v>
      </c>
      <c r="F17" s="11">
        <f>10/2</f>
        <v>5</v>
      </c>
      <c r="G17" s="7"/>
      <c r="H17" s="7"/>
      <c r="I17" s="7"/>
    </row>
    <row r="18" spans="3:9" x14ac:dyDescent="0.3">
      <c r="C18" s="7"/>
      <c r="D18" s="7"/>
      <c r="E18" s="7"/>
      <c r="F18" s="7"/>
      <c r="G18" s="7"/>
      <c r="H18" s="7"/>
      <c r="I18" s="7"/>
    </row>
    <row r="19" spans="3:9" x14ac:dyDescent="0.3">
      <c r="C19" s="7"/>
      <c r="D19" s="7"/>
      <c r="E19" s="7"/>
      <c r="F19" s="7"/>
      <c r="G19" s="7"/>
      <c r="H19" s="7"/>
      <c r="I19" s="7"/>
    </row>
    <row r="20" spans="3:9" x14ac:dyDescent="0.3">
      <c r="C20" s="39" t="s">
        <v>207</v>
      </c>
      <c r="D20" s="7"/>
      <c r="E20" s="7"/>
      <c r="F20" s="7"/>
      <c r="G20" s="7"/>
      <c r="H20" s="7"/>
      <c r="I20" s="7"/>
    </row>
    <row r="21" spans="3:9" x14ac:dyDescent="0.3">
      <c r="C21" s="6">
        <v>10</v>
      </c>
      <c r="D21" s="7" t="s">
        <v>208</v>
      </c>
      <c r="E21" s="7">
        <v>100</v>
      </c>
      <c r="F21" s="53">
        <f>C21/E21</f>
        <v>0.1</v>
      </c>
      <c r="G21" s="7"/>
      <c r="H21" s="7"/>
      <c r="I21" s="7"/>
    </row>
    <row r="22" spans="3:9" x14ac:dyDescent="0.3">
      <c r="C22" s="6">
        <v>3</v>
      </c>
      <c r="D22" s="7" t="s">
        <v>208</v>
      </c>
      <c r="E22" s="7">
        <v>6</v>
      </c>
      <c r="F22" s="53">
        <f t="shared" ref="F22:F23" si="0">C22/E22</f>
        <v>0.5</v>
      </c>
      <c r="G22" s="7"/>
      <c r="H22" s="7"/>
      <c r="I22" s="7"/>
    </row>
    <row r="23" spans="3:9" x14ac:dyDescent="0.3">
      <c r="C23" s="6">
        <v>1.5</v>
      </c>
      <c r="D23" s="7" t="s">
        <v>208</v>
      </c>
      <c r="E23" s="7">
        <v>1</v>
      </c>
      <c r="F23" s="53">
        <f t="shared" si="0"/>
        <v>1.5</v>
      </c>
      <c r="G23" s="7"/>
      <c r="H23" s="7"/>
      <c r="I23" s="7"/>
    </row>
    <row r="24" spans="3:9" x14ac:dyDescent="0.3">
      <c r="C24" s="7"/>
      <c r="D24" s="7"/>
      <c r="E24" s="7"/>
      <c r="F24" s="7"/>
      <c r="G24" s="7"/>
      <c r="H24" s="7"/>
      <c r="I24" s="7"/>
    </row>
    <row r="25" spans="3:9" x14ac:dyDescent="0.3">
      <c r="C25" s="39" t="s">
        <v>209</v>
      </c>
      <c r="D25" s="7"/>
      <c r="E25" s="7"/>
      <c r="F25" s="7"/>
      <c r="G25" s="7"/>
      <c r="H25" s="7"/>
      <c r="I25" s="7"/>
    </row>
    <row r="26" spans="3:9" x14ac:dyDescent="0.3">
      <c r="C26" s="6" t="s">
        <v>210</v>
      </c>
      <c r="D26" s="6" t="s">
        <v>211</v>
      </c>
      <c r="E26" s="6" t="s">
        <v>212</v>
      </c>
      <c r="F26" s="6" t="s">
        <v>213</v>
      </c>
      <c r="G26" s="6"/>
      <c r="H26" s="7"/>
      <c r="I26" s="7"/>
    </row>
    <row r="27" spans="3:9" x14ac:dyDescent="0.3">
      <c r="C27" s="7" t="s">
        <v>214</v>
      </c>
      <c r="D27" s="7">
        <v>100</v>
      </c>
      <c r="E27" s="7">
        <v>150</v>
      </c>
      <c r="F27" s="53">
        <f>D27/E27</f>
        <v>0.66666666666666663</v>
      </c>
      <c r="G27" s="7"/>
      <c r="H27" s="7"/>
      <c r="I27" s="7"/>
    </row>
    <row r="28" spans="3:9" x14ac:dyDescent="0.3">
      <c r="C28" s="7" t="s">
        <v>215</v>
      </c>
      <c r="D28" s="7">
        <v>100</v>
      </c>
      <c r="E28" s="7">
        <v>50</v>
      </c>
      <c r="F28" s="53">
        <f>D28/E28</f>
        <v>2</v>
      </c>
      <c r="G28" s="7"/>
      <c r="H28" s="7"/>
      <c r="I28" s="7"/>
    </row>
    <row r="29" spans="3:9" x14ac:dyDescent="0.3">
      <c r="C29" s="7"/>
      <c r="D29" s="7"/>
      <c r="E29" s="7"/>
      <c r="F29" s="7"/>
      <c r="G29" s="7"/>
      <c r="H29" s="7"/>
      <c r="I29"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C0CBC-FBBE-44ED-A47D-485DB5476A59}">
  <dimension ref="C1:F18"/>
  <sheetViews>
    <sheetView workbookViewId="0">
      <selection activeCell="E18" sqref="E18"/>
    </sheetView>
  </sheetViews>
  <sheetFormatPr defaultRowHeight="14.4" x14ac:dyDescent="0.3"/>
  <cols>
    <col min="4" max="4" width="62.6640625" bestFit="1" customWidth="1"/>
    <col min="5" max="5" width="9.5546875" bestFit="1" customWidth="1"/>
  </cols>
  <sheetData>
    <row r="1" spans="3:6" ht="28.8" customHeight="1" x14ac:dyDescent="0.3">
      <c r="D1" s="107" t="s">
        <v>216</v>
      </c>
      <c r="E1" s="107"/>
    </row>
    <row r="4" spans="3:6" x14ac:dyDescent="0.3">
      <c r="C4" s="54"/>
      <c r="D4" s="7" t="s">
        <v>217</v>
      </c>
      <c r="E4" s="1"/>
      <c r="F4" s="1"/>
    </row>
    <row r="5" spans="3:6" x14ac:dyDescent="0.3">
      <c r="C5" s="55"/>
      <c r="D5" s="56" t="s">
        <v>218</v>
      </c>
      <c r="E5" s="57"/>
      <c r="F5" s="1"/>
    </row>
    <row r="6" spans="3:6" x14ac:dyDescent="0.3">
      <c r="C6" s="58">
        <v>1</v>
      </c>
      <c r="D6" s="7" t="s">
        <v>219</v>
      </c>
      <c r="E6" s="1"/>
      <c r="F6" s="1"/>
    </row>
    <row r="7" spans="3:6" x14ac:dyDescent="0.3">
      <c r="C7" s="59"/>
      <c r="D7" s="36" t="s">
        <v>1</v>
      </c>
      <c r="E7" s="36" t="s">
        <v>2</v>
      </c>
      <c r="F7" s="1"/>
    </row>
    <row r="8" spans="3:6" x14ac:dyDescent="0.3">
      <c r="C8" s="58"/>
      <c r="D8" s="2" t="s">
        <v>220</v>
      </c>
      <c r="E8" s="2">
        <v>200</v>
      </c>
      <c r="F8" s="1"/>
    </row>
    <row r="9" spans="3:6" x14ac:dyDescent="0.3">
      <c r="C9" s="58"/>
      <c r="D9" s="2" t="s">
        <v>221</v>
      </c>
      <c r="E9" s="2">
        <v>120</v>
      </c>
      <c r="F9" s="1"/>
    </row>
    <row r="10" spans="3:6" x14ac:dyDescent="0.3">
      <c r="C10" s="58"/>
      <c r="D10" s="2" t="s">
        <v>222</v>
      </c>
      <c r="E10" s="2">
        <v>156</v>
      </c>
      <c r="F10" s="1"/>
    </row>
    <row r="11" spans="3:6" x14ac:dyDescent="0.3">
      <c r="C11" s="58"/>
      <c r="D11" s="2" t="s">
        <v>223</v>
      </c>
      <c r="E11" s="2">
        <v>190</v>
      </c>
      <c r="F11" s="1"/>
    </row>
    <row r="12" spans="3:6" x14ac:dyDescent="0.3">
      <c r="C12" s="58"/>
      <c r="D12" s="2" t="s">
        <v>224</v>
      </c>
      <c r="E12" s="2">
        <v>320</v>
      </c>
      <c r="F12" s="1"/>
    </row>
    <row r="13" spans="3:6" x14ac:dyDescent="0.3">
      <c r="C13" s="58"/>
      <c r="D13" s="2" t="s">
        <v>225</v>
      </c>
      <c r="E13" s="2">
        <v>89</v>
      </c>
      <c r="F13" s="1"/>
    </row>
    <row r="14" spans="3:6" ht="15" thickBot="1" x14ac:dyDescent="0.35">
      <c r="C14" s="54"/>
      <c r="D14" s="1"/>
      <c r="E14" s="1"/>
      <c r="F14" s="1"/>
    </row>
    <row r="15" spans="3:6" ht="15" thickBot="1" x14ac:dyDescent="0.35">
      <c r="C15" s="58">
        <v>1.1000000000000001</v>
      </c>
      <c r="D15" s="7" t="s">
        <v>226</v>
      </c>
      <c r="E15" s="8">
        <f>MAX(E8:E13)</f>
        <v>320</v>
      </c>
      <c r="F15" s="7"/>
    </row>
    <row r="16" spans="3:6" ht="15" thickBot="1" x14ac:dyDescent="0.35">
      <c r="C16" s="58">
        <v>1.2</v>
      </c>
      <c r="D16" s="7" t="s">
        <v>227</v>
      </c>
      <c r="E16" s="8">
        <f>MIN(E8:E13)</f>
        <v>89</v>
      </c>
      <c r="F16" s="7"/>
    </row>
    <row r="17" spans="3:6" ht="15" thickBot="1" x14ac:dyDescent="0.35">
      <c r="C17" s="58">
        <v>1.3</v>
      </c>
      <c r="D17" s="7" t="s">
        <v>228</v>
      </c>
      <c r="E17" s="60">
        <f>E15+E16/2</f>
        <v>364.5</v>
      </c>
      <c r="F17" s="7"/>
    </row>
    <row r="18" spans="3:6" x14ac:dyDescent="0.3">
      <c r="C18" s="54"/>
      <c r="D18" s="1"/>
      <c r="E18" s="1"/>
      <c r="F18" s="1"/>
    </row>
  </sheetData>
  <mergeCells count="1">
    <mergeCell ref="D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271C-9234-45FB-B663-69501662EC42}">
  <dimension ref="C1:J15"/>
  <sheetViews>
    <sheetView workbookViewId="0">
      <selection activeCell="H11" sqref="H11:H14"/>
    </sheetView>
  </sheetViews>
  <sheetFormatPr defaultRowHeight="14.4" x14ac:dyDescent="0.3"/>
  <cols>
    <col min="3" max="3" width="56.77734375" customWidth="1"/>
  </cols>
  <sheetData>
    <row r="1" spans="3:10" ht="72" x14ac:dyDescent="0.3">
      <c r="C1" s="12" t="s">
        <v>229</v>
      </c>
    </row>
    <row r="4" spans="3:10" x14ac:dyDescent="0.3">
      <c r="C4" s="7" t="s">
        <v>230</v>
      </c>
      <c r="D4" s="1"/>
      <c r="E4" s="1"/>
      <c r="F4" s="1"/>
      <c r="G4" s="1"/>
      <c r="H4" s="1"/>
      <c r="I4" s="1"/>
      <c r="J4" s="1"/>
    </row>
    <row r="5" spans="3:10" x14ac:dyDescent="0.3">
      <c r="C5" s="1"/>
      <c r="D5" s="1"/>
      <c r="E5" s="1"/>
      <c r="F5" s="1"/>
      <c r="G5" s="1"/>
      <c r="H5" s="1"/>
      <c r="I5" s="1"/>
      <c r="J5" s="1"/>
    </row>
    <row r="6" spans="3:10" x14ac:dyDescent="0.3">
      <c r="C6" s="7" t="s">
        <v>231</v>
      </c>
      <c r="D6" s="1"/>
      <c r="E6" s="1"/>
      <c r="F6" s="1"/>
      <c r="G6" s="1"/>
      <c r="H6" s="1"/>
      <c r="I6" s="1"/>
      <c r="J6" s="1"/>
    </row>
    <row r="7" spans="3:10" x14ac:dyDescent="0.3">
      <c r="C7" s="7" t="s">
        <v>232</v>
      </c>
      <c r="D7" s="1"/>
      <c r="E7" s="1"/>
      <c r="F7" s="1"/>
      <c r="G7" s="1"/>
      <c r="H7" s="1"/>
      <c r="I7" s="1"/>
      <c r="J7" s="1"/>
    </row>
    <row r="8" spans="3:10" x14ac:dyDescent="0.3">
      <c r="C8" s="7" t="s">
        <v>233</v>
      </c>
      <c r="D8" s="1"/>
      <c r="E8" s="1"/>
      <c r="F8" s="1"/>
      <c r="G8" s="1"/>
      <c r="H8" s="1"/>
      <c r="I8" s="1"/>
      <c r="J8" s="1"/>
    </row>
    <row r="9" spans="3:10" x14ac:dyDescent="0.3">
      <c r="C9" s="7"/>
      <c r="D9" s="1"/>
      <c r="E9" s="1"/>
      <c r="F9" s="1"/>
      <c r="G9" s="1"/>
      <c r="H9" s="1"/>
      <c r="I9" s="1"/>
      <c r="J9" s="1"/>
    </row>
    <row r="10" spans="3:10" x14ac:dyDescent="0.3">
      <c r="C10" s="61"/>
      <c r="D10" s="62" t="s">
        <v>234</v>
      </c>
      <c r="E10" s="62" t="s">
        <v>235</v>
      </c>
      <c r="F10" s="62" t="s">
        <v>236</v>
      </c>
      <c r="G10" s="62" t="s">
        <v>237</v>
      </c>
      <c r="H10" s="61"/>
      <c r="I10" s="1"/>
      <c r="J10" s="1"/>
    </row>
    <row r="11" spans="3:10" x14ac:dyDescent="0.3">
      <c r="C11" s="62" t="s">
        <v>238</v>
      </c>
      <c r="D11" s="62">
        <v>95</v>
      </c>
      <c r="E11" s="62">
        <v>56</v>
      </c>
      <c r="F11" s="62">
        <v>14</v>
      </c>
      <c r="G11" s="62">
        <v>66</v>
      </c>
      <c r="H11" s="51" t="str">
        <f>IF(MIN(D11:G11)&lt;=50,"Fail","Pass")</f>
        <v>Fail</v>
      </c>
      <c r="I11" s="1"/>
      <c r="J11" s="7"/>
    </row>
    <row r="12" spans="3:10" x14ac:dyDescent="0.3">
      <c r="C12" s="62" t="s">
        <v>239</v>
      </c>
      <c r="D12" s="62">
        <v>54</v>
      </c>
      <c r="E12" s="62">
        <v>89</v>
      </c>
      <c r="F12" s="62">
        <v>53</v>
      </c>
      <c r="G12" s="62">
        <v>66</v>
      </c>
      <c r="H12" s="51" t="str">
        <f t="shared" ref="H12:H14" si="0">IF(MIN(D12:G12)&lt;=50,"Fail","Pass")</f>
        <v>Pass</v>
      </c>
      <c r="I12" s="1"/>
      <c r="J12" s="7"/>
    </row>
    <row r="13" spans="3:10" x14ac:dyDescent="0.3">
      <c r="C13" s="62" t="s">
        <v>240</v>
      </c>
      <c r="D13" s="62">
        <v>100</v>
      </c>
      <c r="E13" s="62">
        <v>69</v>
      </c>
      <c r="F13" s="62">
        <v>78</v>
      </c>
      <c r="G13" s="62">
        <v>53</v>
      </c>
      <c r="H13" s="51" t="str">
        <f t="shared" si="0"/>
        <v>Pass</v>
      </c>
      <c r="I13" s="1"/>
      <c r="J13" s="7"/>
    </row>
    <row r="14" spans="3:10" x14ac:dyDescent="0.3">
      <c r="C14" s="62" t="s">
        <v>131</v>
      </c>
      <c r="D14" s="62">
        <v>49</v>
      </c>
      <c r="E14" s="62">
        <v>70</v>
      </c>
      <c r="F14" s="62">
        <v>87</v>
      </c>
      <c r="G14" s="62">
        <v>100</v>
      </c>
      <c r="H14" s="51" t="str">
        <f t="shared" si="0"/>
        <v>Fail</v>
      </c>
      <c r="I14" s="1"/>
      <c r="J14" s="7"/>
    </row>
    <row r="15" spans="3:10" x14ac:dyDescent="0.3">
      <c r="C15" s="1"/>
      <c r="D15" s="1"/>
      <c r="E15" s="1"/>
      <c r="F15" s="1"/>
      <c r="G15" s="1"/>
      <c r="H15" s="1"/>
      <c r="I15" s="1"/>
      <c r="J15"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1162-5EBE-4C53-91C5-74D89DC7BA33}">
  <dimension ref="C1:F16"/>
  <sheetViews>
    <sheetView workbookViewId="0">
      <selection activeCell="D16" sqref="D16"/>
    </sheetView>
  </sheetViews>
  <sheetFormatPr defaultRowHeight="14.4" x14ac:dyDescent="0.3"/>
  <cols>
    <col min="3" max="3" width="55.77734375" customWidth="1"/>
  </cols>
  <sheetData>
    <row r="1" spans="3:6" ht="43.2" x14ac:dyDescent="0.3">
      <c r="C1" s="12" t="s">
        <v>241</v>
      </c>
    </row>
    <row r="4" spans="3:6" x14ac:dyDescent="0.3">
      <c r="C4" s="7" t="s">
        <v>242</v>
      </c>
      <c r="D4" s="1"/>
      <c r="E4" s="1"/>
      <c r="F4" s="1"/>
    </row>
    <row r="5" spans="3:6" x14ac:dyDescent="0.3">
      <c r="C5" s="35" t="s">
        <v>243</v>
      </c>
      <c r="D5" s="1"/>
      <c r="E5" s="1"/>
      <c r="F5" s="1"/>
    </row>
    <row r="6" spans="3:6" x14ac:dyDescent="0.3">
      <c r="C6" s="1"/>
      <c r="D6" s="1"/>
      <c r="E6" s="1"/>
      <c r="F6" s="1"/>
    </row>
    <row r="7" spans="3:6" x14ac:dyDescent="0.3">
      <c r="C7" s="1"/>
      <c r="D7" s="7" t="s">
        <v>234</v>
      </c>
      <c r="E7" s="1"/>
      <c r="F7" s="1"/>
    </row>
    <row r="8" spans="3:6" x14ac:dyDescent="0.3">
      <c r="C8" s="7" t="s">
        <v>244</v>
      </c>
      <c r="D8" s="7">
        <v>95</v>
      </c>
      <c r="E8" s="1"/>
      <c r="F8" s="1"/>
    </row>
    <row r="9" spans="3:6" x14ac:dyDescent="0.3">
      <c r="C9" s="7" t="s">
        <v>239</v>
      </c>
      <c r="D9" s="7">
        <v>54</v>
      </c>
      <c r="E9" s="1"/>
      <c r="F9" s="1"/>
    </row>
    <row r="10" spans="3:6" x14ac:dyDescent="0.3">
      <c r="C10" s="7" t="s">
        <v>240</v>
      </c>
      <c r="D10" s="7">
        <v>100</v>
      </c>
      <c r="E10" s="1"/>
      <c r="F10" s="1"/>
    </row>
    <row r="11" spans="3:6" x14ac:dyDescent="0.3">
      <c r="C11" s="7" t="s">
        <v>131</v>
      </c>
      <c r="D11" s="7">
        <v>49</v>
      </c>
      <c r="E11" s="1"/>
      <c r="F11" s="1"/>
    </row>
    <row r="12" spans="3:6" x14ac:dyDescent="0.3">
      <c r="C12" s="7" t="s">
        <v>245</v>
      </c>
      <c r="D12" s="7">
        <v>67</v>
      </c>
      <c r="E12" s="1"/>
      <c r="F12" s="1"/>
    </row>
    <row r="13" spans="3:6" x14ac:dyDescent="0.3">
      <c r="C13" s="7" t="s">
        <v>246</v>
      </c>
      <c r="D13" s="7">
        <v>45</v>
      </c>
      <c r="E13" s="1"/>
      <c r="F13" s="1"/>
    </row>
    <row r="14" spans="3:6" x14ac:dyDescent="0.3">
      <c r="C14" s="7" t="s">
        <v>247</v>
      </c>
      <c r="D14" s="7">
        <v>77</v>
      </c>
      <c r="E14" s="1"/>
      <c r="F14" s="1"/>
    </row>
    <row r="15" spans="3:6" x14ac:dyDescent="0.3">
      <c r="C15" s="1"/>
      <c r="D15" s="11" t="str">
        <f>IF(MAX(D8:D14)&gt;=99,"Easy","Not Easy")</f>
        <v>Easy</v>
      </c>
      <c r="E15" s="1"/>
      <c r="F15" s="7"/>
    </row>
    <row r="16" spans="3:6" x14ac:dyDescent="0.3">
      <c r="C16" s="1"/>
      <c r="D16" s="1"/>
      <c r="E16" s="1"/>
      <c r="F16"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5707-066C-4EB9-A93B-73234EF606ED}">
  <dimension ref="C1:F15"/>
  <sheetViews>
    <sheetView workbookViewId="0">
      <selection activeCell="E12" sqref="E12"/>
    </sheetView>
  </sheetViews>
  <sheetFormatPr defaultRowHeight="14.4" x14ac:dyDescent="0.3"/>
  <cols>
    <col min="3" max="3" width="48.5546875" customWidth="1"/>
    <col min="5" max="5" width="19.88671875" bestFit="1" customWidth="1"/>
  </cols>
  <sheetData>
    <row r="1" spans="3:6" ht="57.6" customHeight="1" x14ac:dyDescent="0.3">
      <c r="C1" s="107" t="s">
        <v>248</v>
      </c>
      <c r="D1" s="107"/>
      <c r="E1" s="107"/>
      <c r="F1" s="107"/>
    </row>
    <row r="4" spans="3:6" x14ac:dyDescent="0.3">
      <c r="C4" s="1" t="s">
        <v>249</v>
      </c>
      <c r="D4" s="1"/>
      <c r="E4" s="1"/>
    </row>
    <row r="5" spans="3:6" x14ac:dyDescent="0.3">
      <c r="C5" s="1" t="s">
        <v>250</v>
      </c>
      <c r="D5" s="1"/>
      <c r="E5" s="1"/>
    </row>
    <row r="6" spans="3:6" x14ac:dyDescent="0.3">
      <c r="C6" s="1" t="s">
        <v>251</v>
      </c>
      <c r="D6" s="1"/>
      <c r="E6" s="1"/>
    </row>
    <row r="7" spans="3:6" x14ac:dyDescent="0.3">
      <c r="C7" s="1" t="s">
        <v>252</v>
      </c>
      <c r="D7" s="1"/>
      <c r="E7" s="1"/>
    </row>
    <row r="8" spans="3:6" x14ac:dyDescent="0.3">
      <c r="C8" s="1"/>
      <c r="D8" s="1"/>
      <c r="E8" s="1"/>
    </row>
    <row r="9" spans="3:6" x14ac:dyDescent="0.3">
      <c r="C9" s="1" t="s">
        <v>253</v>
      </c>
      <c r="D9" s="1"/>
      <c r="E9" s="1"/>
    </row>
    <row r="10" spans="3:6" x14ac:dyDescent="0.3">
      <c r="C10" s="1"/>
      <c r="D10" s="1"/>
      <c r="E10" s="1"/>
    </row>
    <row r="11" spans="3:6" x14ac:dyDescent="0.3">
      <c r="C11" s="48" t="s">
        <v>254</v>
      </c>
      <c r="D11" s="48" t="s">
        <v>126</v>
      </c>
      <c r="E11" s="48" t="s">
        <v>255</v>
      </c>
    </row>
    <row r="12" spans="3:6" x14ac:dyDescent="0.3">
      <c r="C12" s="61" t="s">
        <v>256</v>
      </c>
      <c r="D12" s="61">
        <v>78</v>
      </c>
      <c r="E12" s="63" t="str">
        <f>IF(D12&gt;=80,"Excellent",IF(AND(D12&gt;=60,D12&lt;80),"Good","Failed"))</f>
        <v>Good</v>
      </c>
    </row>
    <row r="13" spans="3:6" x14ac:dyDescent="0.3">
      <c r="C13" s="61" t="s">
        <v>257</v>
      </c>
      <c r="D13" s="61">
        <v>85</v>
      </c>
      <c r="E13" s="63" t="str">
        <f t="shared" ref="E13:E15" si="0">IF(D13&gt;=80,"Excellent",IF(AND(D13&gt;=60,D13&lt;80),"Good","Failed"))</f>
        <v>Excellent</v>
      </c>
    </row>
    <row r="14" spans="3:6" x14ac:dyDescent="0.3">
      <c r="C14" s="61" t="s">
        <v>258</v>
      </c>
      <c r="D14" s="61">
        <v>44</v>
      </c>
      <c r="E14" s="63" t="str">
        <f t="shared" si="0"/>
        <v>Failed</v>
      </c>
    </row>
    <row r="15" spans="3:6" x14ac:dyDescent="0.3">
      <c r="C15" s="61" t="s">
        <v>259</v>
      </c>
      <c r="D15" s="61">
        <v>61</v>
      </c>
      <c r="E15" s="63" t="str">
        <f t="shared" si="0"/>
        <v>Good</v>
      </c>
    </row>
  </sheetData>
  <mergeCells count="1">
    <mergeCell ref="C1:F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4181-A7AC-4F5D-8270-8BD6DBE5C69C}">
  <dimension ref="C1:F21"/>
  <sheetViews>
    <sheetView topLeftCell="A2" workbookViewId="0">
      <selection activeCell="D22" sqref="D22"/>
    </sheetView>
  </sheetViews>
  <sheetFormatPr defaultRowHeight="14.4" x14ac:dyDescent="0.3"/>
  <cols>
    <col min="3" max="3" width="52.88671875" customWidth="1"/>
  </cols>
  <sheetData>
    <row r="1" spans="3:6" ht="51.6" customHeight="1" x14ac:dyDescent="0.3">
      <c r="C1" s="107" t="s">
        <v>260</v>
      </c>
      <c r="D1" s="107"/>
      <c r="E1" s="107"/>
    </row>
    <row r="4" spans="3:6" x14ac:dyDescent="0.3">
      <c r="C4" s="7" t="s">
        <v>261</v>
      </c>
      <c r="D4" s="1"/>
      <c r="E4" s="1"/>
      <c r="F4" s="1"/>
    </row>
    <row r="5" spans="3:6" x14ac:dyDescent="0.3">
      <c r="C5" s="7" t="s">
        <v>262</v>
      </c>
      <c r="D5" s="1"/>
      <c r="E5" s="1"/>
      <c r="F5" s="1"/>
    </row>
    <row r="6" spans="3:6" x14ac:dyDescent="0.3">
      <c r="C6" s="1"/>
      <c r="D6" s="1"/>
      <c r="E6" s="1"/>
      <c r="F6" s="1"/>
    </row>
    <row r="7" spans="3:6" x14ac:dyDescent="0.3">
      <c r="C7" s="39"/>
      <c r="D7" s="1"/>
      <c r="E7" s="1"/>
      <c r="F7" s="1"/>
    </row>
    <row r="8" spans="3:6" x14ac:dyDescent="0.3">
      <c r="C8" s="39" t="s">
        <v>23</v>
      </c>
      <c r="D8" s="39" t="s">
        <v>263</v>
      </c>
      <c r="E8" s="1"/>
      <c r="F8" s="1"/>
    </row>
    <row r="9" spans="3:6" x14ac:dyDescent="0.3">
      <c r="C9" s="7" t="s">
        <v>264</v>
      </c>
      <c r="D9" s="58">
        <v>759</v>
      </c>
      <c r="E9" s="1"/>
      <c r="F9" s="1"/>
    </row>
    <row r="10" spans="3:6" x14ac:dyDescent="0.3">
      <c r="C10" s="7" t="s">
        <v>265</v>
      </c>
      <c r="D10" s="58">
        <v>200</v>
      </c>
      <c r="E10" s="1"/>
      <c r="F10" s="1"/>
    </row>
    <row r="11" spans="3:6" x14ac:dyDescent="0.3">
      <c r="C11" s="7" t="s">
        <v>266</v>
      </c>
      <c r="D11" s="58">
        <v>42</v>
      </c>
      <c r="E11" s="1"/>
      <c r="F11" s="1"/>
    </row>
    <row r="12" spans="3:6" x14ac:dyDescent="0.3">
      <c r="C12" s="7" t="s">
        <v>267</v>
      </c>
      <c r="D12" s="58">
        <v>423</v>
      </c>
      <c r="E12" s="1"/>
      <c r="F12" s="1"/>
    </row>
    <row r="13" spans="3:6" x14ac:dyDescent="0.3">
      <c r="C13" s="7" t="s">
        <v>268</v>
      </c>
      <c r="D13" s="58">
        <v>200</v>
      </c>
      <c r="E13" s="1"/>
      <c r="F13" s="1"/>
    </row>
    <row r="14" spans="3:6" x14ac:dyDescent="0.3">
      <c r="C14" s="7" t="s">
        <v>269</v>
      </c>
      <c r="D14" s="58">
        <v>50</v>
      </c>
      <c r="E14" s="1"/>
      <c r="F14" s="1"/>
    </row>
    <row r="15" spans="3:6" x14ac:dyDescent="0.3">
      <c r="C15" s="7" t="s">
        <v>270</v>
      </c>
      <c r="D15" s="58">
        <v>700</v>
      </c>
      <c r="E15" s="1"/>
      <c r="F15" s="1"/>
    </row>
    <row r="16" spans="3:6" x14ac:dyDescent="0.3">
      <c r="C16" s="7" t="s">
        <v>271</v>
      </c>
      <c r="D16" s="58">
        <v>450</v>
      </c>
      <c r="E16" s="1"/>
      <c r="F16" s="1"/>
    </row>
    <row r="17" spans="3:6" x14ac:dyDescent="0.3">
      <c r="C17" s="7" t="s">
        <v>272</v>
      </c>
      <c r="D17" s="58">
        <v>605</v>
      </c>
      <c r="E17" s="1"/>
      <c r="F17" s="1"/>
    </row>
    <row r="18" spans="3:6" x14ac:dyDescent="0.3">
      <c r="C18" s="7" t="s">
        <v>273</v>
      </c>
      <c r="D18" s="58">
        <v>240</v>
      </c>
      <c r="E18" s="1"/>
      <c r="F18" s="1"/>
    </row>
    <row r="19" spans="3:6" x14ac:dyDescent="0.3">
      <c r="C19" s="7" t="s">
        <v>274</v>
      </c>
      <c r="D19" s="58">
        <v>685</v>
      </c>
      <c r="E19" s="1"/>
      <c r="F19" s="1"/>
    </row>
    <row r="20" spans="3:6" ht="15" thickBot="1" x14ac:dyDescent="0.35">
      <c r="C20" s="7" t="s">
        <v>275</v>
      </c>
      <c r="D20" s="58">
        <v>295</v>
      </c>
      <c r="E20" s="1"/>
      <c r="F20" s="1"/>
    </row>
    <row r="21" spans="3:6" ht="15" thickBot="1" x14ac:dyDescent="0.35">
      <c r="C21" s="7" t="s">
        <v>276</v>
      </c>
      <c r="D21" s="8">
        <f>SUM(D9:D20)</f>
        <v>4649</v>
      </c>
      <c r="E21" s="6" t="s">
        <v>277</v>
      </c>
      <c r="F21" s="6"/>
    </row>
  </sheetData>
  <mergeCells count="1">
    <mergeCell ref="C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7188-DB41-4DB4-8246-9B448C3F85DB}">
  <dimension ref="C3:E100"/>
  <sheetViews>
    <sheetView topLeftCell="A31" workbookViewId="0">
      <selection activeCell="E100" sqref="E100"/>
    </sheetView>
  </sheetViews>
  <sheetFormatPr defaultRowHeight="14.4" x14ac:dyDescent="0.3"/>
  <cols>
    <col min="3" max="3" width="36.5546875" customWidth="1"/>
  </cols>
  <sheetData>
    <row r="3" spans="3:5" ht="72" customHeight="1" x14ac:dyDescent="0.3">
      <c r="C3" s="113" t="s">
        <v>278</v>
      </c>
      <c r="D3" s="113"/>
      <c r="E3" s="113"/>
    </row>
    <row r="6" spans="3:5" x14ac:dyDescent="0.3">
      <c r="C6" s="7" t="s">
        <v>279</v>
      </c>
      <c r="D6" s="1"/>
      <c r="E6" s="1"/>
    </row>
    <row r="7" spans="3:5" x14ac:dyDescent="0.3">
      <c r="C7" s="7" t="s">
        <v>280</v>
      </c>
      <c r="D7" s="1"/>
      <c r="E7" s="1"/>
    </row>
    <row r="8" spans="3:5" x14ac:dyDescent="0.3">
      <c r="C8" s="1"/>
      <c r="D8" s="1"/>
      <c r="E8" s="1"/>
    </row>
    <row r="9" spans="3:5" x14ac:dyDescent="0.3">
      <c r="C9" s="64" t="s">
        <v>281</v>
      </c>
      <c r="D9" s="64" t="s">
        <v>282</v>
      </c>
      <c r="E9" s="1"/>
    </row>
    <row r="10" spans="3:5" x14ac:dyDescent="0.3">
      <c r="C10" s="65">
        <v>42005</v>
      </c>
      <c r="D10" s="1">
        <v>432.17</v>
      </c>
      <c r="E10" s="1"/>
    </row>
    <row r="11" spans="3:5" x14ac:dyDescent="0.3">
      <c r="C11" s="65">
        <v>42351</v>
      </c>
      <c r="D11" s="1">
        <v>528.5</v>
      </c>
      <c r="E11" s="1"/>
    </row>
    <row r="12" spans="3:5" x14ac:dyDescent="0.3">
      <c r="C12" s="65">
        <v>42007</v>
      </c>
      <c r="D12" s="1">
        <v>810.71</v>
      </c>
      <c r="E12" s="1"/>
    </row>
    <row r="13" spans="3:5" x14ac:dyDescent="0.3">
      <c r="C13" s="65">
        <v>42008</v>
      </c>
      <c r="D13" s="1">
        <v>418.54</v>
      </c>
      <c r="E13" s="1"/>
    </row>
    <row r="14" spans="3:5" x14ac:dyDescent="0.3">
      <c r="C14" s="65">
        <v>42009</v>
      </c>
      <c r="D14" s="1">
        <v>722.22</v>
      </c>
      <c r="E14" s="1"/>
    </row>
    <row r="15" spans="3:5" x14ac:dyDescent="0.3">
      <c r="C15" s="65">
        <v>42010</v>
      </c>
      <c r="D15" s="1">
        <v>460.28</v>
      </c>
      <c r="E15" s="1"/>
    </row>
    <row r="16" spans="3:5" x14ac:dyDescent="0.3">
      <c r="C16" s="65">
        <v>42349</v>
      </c>
      <c r="D16" s="1">
        <v>483.58</v>
      </c>
      <c r="E16" s="1"/>
    </row>
    <row r="17" spans="3:5" x14ac:dyDescent="0.3">
      <c r="C17" s="65">
        <v>42012</v>
      </c>
      <c r="D17" s="1">
        <v>114.53</v>
      </c>
      <c r="E17" s="1"/>
    </row>
    <row r="18" spans="3:5" x14ac:dyDescent="0.3">
      <c r="C18" s="65">
        <v>42013</v>
      </c>
      <c r="D18" s="1">
        <v>609.12</v>
      </c>
      <c r="E18" s="1"/>
    </row>
    <row r="19" spans="3:5" x14ac:dyDescent="0.3">
      <c r="C19" s="65">
        <v>42014</v>
      </c>
      <c r="D19" s="67">
        <v>1197.9000000000001</v>
      </c>
      <c r="E19" s="67"/>
    </row>
    <row r="20" spans="3:5" x14ac:dyDescent="0.3">
      <c r="C20" s="65">
        <v>42015</v>
      </c>
      <c r="D20" s="1">
        <v>228.89</v>
      </c>
      <c r="E20" s="1"/>
    </row>
    <row r="21" spans="3:5" x14ac:dyDescent="0.3">
      <c r="C21" s="65">
        <v>42016</v>
      </c>
      <c r="D21" s="67">
        <v>1380.07</v>
      </c>
      <c r="E21" s="67"/>
    </row>
    <row r="22" spans="3:5" x14ac:dyDescent="0.3">
      <c r="C22" s="65">
        <v>42017</v>
      </c>
      <c r="D22" s="67">
        <v>1026.96</v>
      </c>
      <c r="E22" s="67"/>
    </row>
    <row r="23" spans="3:5" x14ac:dyDescent="0.3">
      <c r="C23" s="65">
        <v>42018</v>
      </c>
      <c r="D23" s="1">
        <v>760.24</v>
      </c>
      <c r="E23" s="1"/>
    </row>
    <row r="24" spans="3:5" x14ac:dyDescent="0.3">
      <c r="C24" s="65">
        <v>42019</v>
      </c>
      <c r="D24" s="1">
        <v>414.11</v>
      </c>
      <c r="E24" s="1"/>
    </row>
    <row r="25" spans="3:5" x14ac:dyDescent="0.3">
      <c r="C25" s="65">
        <v>42020</v>
      </c>
      <c r="D25" s="67">
        <v>1728.81</v>
      </c>
      <c r="E25" s="67"/>
    </row>
    <row r="26" spans="3:5" x14ac:dyDescent="0.3">
      <c r="C26" s="65">
        <v>42021</v>
      </c>
      <c r="D26" s="1">
        <v>276.06</v>
      </c>
      <c r="E26" s="1"/>
    </row>
    <row r="27" spans="3:5" x14ac:dyDescent="0.3">
      <c r="C27" s="65">
        <v>42022</v>
      </c>
      <c r="D27" s="1">
        <v>462.22</v>
      </c>
      <c r="E27" s="1"/>
    </row>
    <row r="28" spans="3:5" x14ac:dyDescent="0.3">
      <c r="C28" s="65">
        <v>42023</v>
      </c>
      <c r="D28" s="67">
        <v>1281.0999999999999</v>
      </c>
      <c r="E28" s="67"/>
    </row>
    <row r="29" spans="3:5" x14ac:dyDescent="0.3">
      <c r="C29" s="65">
        <v>42024</v>
      </c>
      <c r="D29" s="67">
        <v>1113.7</v>
      </c>
      <c r="E29" s="67"/>
    </row>
    <row r="30" spans="3:5" x14ac:dyDescent="0.3">
      <c r="C30" s="65">
        <v>42025</v>
      </c>
      <c r="D30" s="1">
        <v>594.09</v>
      </c>
      <c r="E30" s="1"/>
    </row>
    <row r="31" spans="3:5" x14ac:dyDescent="0.3">
      <c r="C31" s="65">
        <v>42026</v>
      </c>
      <c r="D31" s="1">
        <v>432.67</v>
      </c>
      <c r="E31" s="1"/>
    </row>
    <row r="32" spans="3:5" x14ac:dyDescent="0.3">
      <c r="C32" s="65">
        <v>42027</v>
      </c>
      <c r="D32" s="1">
        <v>874.45</v>
      </c>
      <c r="E32" s="1"/>
    </row>
    <row r="33" spans="3:5" x14ac:dyDescent="0.3">
      <c r="C33" s="65">
        <v>42028</v>
      </c>
      <c r="D33" s="1">
        <v>880.38</v>
      </c>
      <c r="E33" s="1"/>
    </row>
    <row r="34" spans="3:5" x14ac:dyDescent="0.3">
      <c r="C34" s="65">
        <v>42029</v>
      </c>
      <c r="D34" s="1">
        <v>798.53</v>
      </c>
      <c r="E34" s="1"/>
    </row>
    <row r="35" spans="3:5" x14ac:dyDescent="0.3">
      <c r="C35" s="65">
        <v>42318</v>
      </c>
      <c r="D35" s="1">
        <v>572.41999999999996</v>
      </c>
      <c r="E35" s="1"/>
    </row>
    <row r="36" spans="3:5" x14ac:dyDescent="0.3">
      <c r="C36" s="65">
        <v>42031</v>
      </c>
      <c r="D36" s="1">
        <v>330.61</v>
      </c>
      <c r="E36" s="1"/>
    </row>
    <row r="37" spans="3:5" x14ac:dyDescent="0.3">
      <c r="C37" s="65">
        <v>42032</v>
      </c>
      <c r="D37" s="1">
        <v>567.17999999999995</v>
      </c>
      <c r="E37" s="1"/>
    </row>
    <row r="38" spans="3:5" x14ac:dyDescent="0.3">
      <c r="C38" s="65">
        <v>42033</v>
      </c>
      <c r="D38" s="67">
        <v>1449.21</v>
      </c>
      <c r="E38" s="67"/>
    </row>
    <row r="39" spans="3:5" x14ac:dyDescent="0.3">
      <c r="C39" s="65">
        <v>42034</v>
      </c>
      <c r="D39" s="1">
        <v>459.29</v>
      </c>
      <c r="E39" s="1"/>
    </row>
    <row r="40" spans="3:5" x14ac:dyDescent="0.3">
      <c r="C40" s="65">
        <v>42035</v>
      </c>
      <c r="D40" s="1">
        <v>357.55</v>
      </c>
      <c r="E40" s="1"/>
    </row>
    <row r="41" spans="3:5" x14ac:dyDescent="0.3">
      <c r="C41" s="65">
        <v>42036</v>
      </c>
      <c r="D41" s="1">
        <v>154.34</v>
      </c>
      <c r="E41" s="1"/>
    </row>
    <row r="42" spans="3:5" x14ac:dyDescent="0.3">
      <c r="C42" s="65">
        <v>42037</v>
      </c>
      <c r="D42" s="1">
        <v>152.76</v>
      </c>
      <c r="E42" s="1"/>
    </row>
    <row r="43" spans="3:5" x14ac:dyDescent="0.3">
      <c r="C43" s="65">
        <v>42038</v>
      </c>
      <c r="D43" s="1">
        <v>570.22</v>
      </c>
      <c r="E43" s="1"/>
    </row>
    <row r="44" spans="3:5" x14ac:dyDescent="0.3">
      <c r="C44" s="65">
        <v>42039</v>
      </c>
      <c r="D44" s="1">
        <v>987.62</v>
      </c>
      <c r="E44" s="1"/>
    </row>
    <row r="45" spans="3:5" x14ac:dyDescent="0.3">
      <c r="C45" s="65">
        <v>42040</v>
      </c>
      <c r="D45" s="67">
        <v>1755.71</v>
      </c>
      <c r="E45" s="67"/>
    </row>
    <row r="46" spans="3:5" x14ac:dyDescent="0.3">
      <c r="C46" s="65">
        <v>42041</v>
      </c>
      <c r="D46" s="1">
        <v>378.27</v>
      </c>
      <c r="E46" s="1"/>
    </row>
    <row r="47" spans="3:5" x14ac:dyDescent="0.3">
      <c r="C47" s="65">
        <v>42042</v>
      </c>
      <c r="D47" s="67">
        <v>1323.81</v>
      </c>
      <c r="E47" s="67"/>
    </row>
    <row r="48" spans="3:5" x14ac:dyDescent="0.3">
      <c r="C48" s="65">
        <v>42043</v>
      </c>
      <c r="D48" s="1">
        <v>399.02</v>
      </c>
      <c r="E48" s="1"/>
    </row>
    <row r="49" spans="3:5" x14ac:dyDescent="0.3">
      <c r="C49" s="65">
        <v>42044</v>
      </c>
      <c r="D49" s="1">
        <v>154.94999999999999</v>
      </c>
      <c r="E49" s="1"/>
    </row>
    <row r="50" spans="3:5" x14ac:dyDescent="0.3">
      <c r="C50" s="65">
        <v>42045</v>
      </c>
      <c r="D50" s="67">
        <v>1254.57</v>
      </c>
      <c r="E50" s="67"/>
    </row>
    <row r="51" spans="3:5" x14ac:dyDescent="0.3">
      <c r="C51" s="65">
        <v>42046</v>
      </c>
      <c r="D51" s="1">
        <v>627.32000000000005</v>
      </c>
      <c r="E51" s="1"/>
    </row>
    <row r="52" spans="3:5" x14ac:dyDescent="0.3">
      <c r="C52" s="65">
        <v>42230</v>
      </c>
      <c r="D52" s="1">
        <v>880.6</v>
      </c>
      <c r="E52" s="1"/>
    </row>
    <row r="53" spans="3:5" x14ac:dyDescent="0.3">
      <c r="C53" s="65">
        <v>42048</v>
      </c>
      <c r="D53" s="67">
        <v>1196.03</v>
      </c>
      <c r="E53" s="67"/>
    </row>
    <row r="54" spans="3:5" x14ac:dyDescent="0.3">
      <c r="C54" s="65">
        <v>42049</v>
      </c>
      <c r="D54" s="1">
        <v>782.32</v>
      </c>
      <c r="E54" s="1"/>
    </row>
    <row r="55" spans="3:5" x14ac:dyDescent="0.3">
      <c r="C55" s="65">
        <v>42050</v>
      </c>
      <c r="D55" s="67">
        <v>1323.35</v>
      </c>
      <c r="E55" s="67"/>
    </row>
    <row r="56" spans="3:5" x14ac:dyDescent="0.3">
      <c r="C56" s="65">
        <v>42051</v>
      </c>
      <c r="D56" s="1">
        <v>209.92</v>
      </c>
      <c r="E56" s="1"/>
    </row>
    <row r="57" spans="3:5" x14ac:dyDescent="0.3">
      <c r="C57" s="65">
        <v>42052</v>
      </c>
      <c r="D57" s="67">
        <v>1232.05</v>
      </c>
      <c r="E57" s="67"/>
    </row>
    <row r="58" spans="3:5" x14ac:dyDescent="0.3">
      <c r="C58" s="65">
        <v>42053</v>
      </c>
      <c r="D58" s="1">
        <v>713.28</v>
      </c>
      <c r="E58" s="1"/>
    </row>
    <row r="59" spans="3:5" x14ac:dyDescent="0.3">
      <c r="C59" s="65">
        <v>42054</v>
      </c>
      <c r="D59" s="67">
        <v>1674.82</v>
      </c>
      <c r="E59" s="67"/>
    </row>
    <row r="60" spans="3:5" x14ac:dyDescent="0.3">
      <c r="C60" s="65">
        <v>42055</v>
      </c>
      <c r="D60" s="67">
        <v>1161.25</v>
      </c>
      <c r="E60" s="67"/>
    </row>
    <row r="61" spans="3:5" x14ac:dyDescent="0.3">
      <c r="C61" s="65">
        <v>42056</v>
      </c>
      <c r="D61" s="1">
        <v>897.63</v>
      </c>
      <c r="E61" s="1"/>
    </row>
    <row r="62" spans="3:5" x14ac:dyDescent="0.3">
      <c r="C62" s="65">
        <v>42057</v>
      </c>
      <c r="D62" s="67">
        <v>1647.26</v>
      </c>
      <c r="E62" s="67"/>
    </row>
    <row r="63" spans="3:5" x14ac:dyDescent="0.3">
      <c r="C63" s="65">
        <v>42058</v>
      </c>
      <c r="D63" s="67">
        <v>1121.96</v>
      </c>
      <c r="E63" s="67"/>
    </row>
    <row r="64" spans="3:5" x14ac:dyDescent="0.3">
      <c r="C64" s="65">
        <v>42059</v>
      </c>
      <c r="D64" s="1">
        <v>352.2</v>
      </c>
      <c r="E64" s="1"/>
    </row>
    <row r="65" spans="3:5" x14ac:dyDescent="0.3">
      <c r="C65" s="65">
        <v>42060</v>
      </c>
      <c r="D65" s="1">
        <v>270.77999999999997</v>
      </c>
      <c r="E65" s="1"/>
    </row>
    <row r="66" spans="3:5" x14ac:dyDescent="0.3">
      <c r="C66" s="65">
        <v>42061</v>
      </c>
      <c r="D66" s="1">
        <v>456.41</v>
      </c>
      <c r="E66" s="1"/>
    </row>
    <row r="67" spans="3:5" x14ac:dyDescent="0.3">
      <c r="C67" s="65">
        <v>42062</v>
      </c>
      <c r="D67" s="1">
        <v>441</v>
      </c>
      <c r="E67" s="1"/>
    </row>
    <row r="68" spans="3:5" x14ac:dyDescent="0.3">
      <c r="C68" s="65">
        <v>42063</v>
      </c>
      <c r="D68" s="1">
        <v>252.44</v>
      </c>
      <c r="E68" s="1"/>
    </row>
    <row r="69" spans="3:5" x14ac:dyDescent="0.3">
      <c r="C69" s="65">
        <v>42064</v>
      </c>
      <c r="D69" s="67">
        <v>1298.92</v>
      </c>
      <c r="E69" s="67"/>
    </row>
    <row r="70" spans="3:5" x14ac:dyDescent="0.3">
      <c r="C70" s="65">
        <v>42065</v>
      </c>
      <c r="D70" s="67">
        <v>1178.07</v>
      </c>
      <c r="E70" s="67"/>
    </row>
    <row r="71" spans="3:5" x14ac:dyDescent="0.3">
      <c r="C71" s="65">
        <v>42066</v>
      </c>
      <c r="D71" s="1">
        <v>459.95</v>
      </c>
      <c r="E71" s="1"/>
    </row>
    <row r="72" spans="3:5" x14ac:dyDescent="0.3">
      <c r="C72" s="65">
        <v>42067</v>
      </c>
      <c r="D72" s="67">
        <v>1219.7</v>
      </c>
      <c r="E72" s="67"/>
    </row>
    <row r="73" spans="3:5" x14ac:dyDescent="0.3">
      <c r="C73" s="65">
        <v>42068</v>
      </c>
      <c r="D73" s="1">
        <v>152.24</v>
      </c>
      <c r="E73" s="1"/>
    </row>
    <row r="74" spans="3:5" x14ac:dyDescent="0.3">
      <c r="C74" s="65">
        <v>42069</v>
      </c>
      <c r="D74" s="1">
        <v>770.8</v>
      </c>
      <c r="E74" s="1"/>
    </row>
    <row r="75" spans="3:5" x14ac:dyDescent="0.3">
      <c r="C75" s="65">
        <v>42070</v>
      </c>
      <c r="D75" s="67">
        <v>1357.25</v>
      </c>
      <c r="E75" s="67"/>
    </row>
    <row r="76" spans="3:5" x14ac:dyDescent="0.3">
      <c r="C76" s="65">
        <v>42187</v>
      </c>
      <c r="D76" s="1">
        <v>220.18</v>
      </c>
      <c r="E76" s="1"/>
    </row>
    <row r="77" spans="3:5" x14ac:dyDescent="0.3">
      <c r="C77" s="65">
        <v>42072</v>
      </c>
      <c r="D77" s="67">
        <v>1102.81</v>
      </c>
      <c r="E77" s="67"/>
    </row>
    <row r="78" spans="3:5" x14ac:dyDescent="0.3">
      <c r="C78" s="65">
        <v>42073</v>
      </c>
      <c r="D78" s="67">
        <v>1566.83</v>
      </c>
      <c r="E78" s="67"/>
    </row>
    <row r="79" spans="3:5" x14ac:dyDescent="0.3">
      <c r="C79" s="65">
        <v>42074</v>
      </c>
      <c r="D79" s="1">
        <v>437.92</v>
      </c>
      <c r="E79" s="1"/>
    </row>
    <row r="80" spans="3:5" x14ac:dyDescent="0.3">
      <c r="C80" s="65">
        <v>42075</v>
      </c>
      <c r="D80" s="67">
        <v>1216.1199999999999</v>
      </c>
      <c r="E80" s="67"/>
    </row>
    <row r="81" spans="3:5" x14ac:dyDescent="0.3">
      <c r="C81" s="65">
        <v>42076</v>
      </c>
      <c r="D81" s="1">
        <v>273.10000000000002</v>
      </c>
      <c r="E81" s="1"/>
    </row>
    <row r="82" spans="3:5" x14ac:dyDescent="0.3">
      <c r="C82" s="65">
        <v>42077</v>
      </c>
      <c r="D82" s="1">
        <v>242.26</v>
      </c>
      <c r="E82" s="1"/>
    </row>
    <row r="83" spans="3:5" x14ac:dyDescent="0.3">
      <c r="C83" s="65">
        <v>42078</v>
      </c>
      <c r="D83" s="67">
        <v>1512.6</v>
      </c>
      <c r="E83" s="67"/>
    </row>
    <row r="84" spans="3:5" x14ac:dyDescent="0.3">
      <c r="C84" s="65">
        <v>42079</v>
      </c>
      <c r="D84" s="1">
        <v>783.75</v>
      </c>
      <c r="E84" s="1"/>
    </row>
    <row r="85" spans="3:5" x14ac:dyDescent="0.3">
      <c r="C85" s="65">
        <v>42189</v>
      </c>
      <c r="D85" s="1">
        <v>667.99</v>
      </c>
      <c r="E85" s="1"/>
    </row>
    <row r="86" spans="3:5" x14ac:dyDescent="0.3">
      <c r="C86" s="65">
        <v>42081</v>
      </c>
      <c r="D86" s="67">
        <v>1166.31</v>
      </c>
      <c r="E86" s="67"/>
    </row>
    <row r="87" spans="3:5" x14ac:dyDescent="0.3">
      <c r="C87" s="65">
        <v>42082</v>
      </c>
      <c r="D87" s="1">
        <v>770.18</v>
      </c>
      <c r="E87" s="1"/>
    </row>
    <row r="88" spans="3:5" x14ac:dyDescent="0.3">
      <c r="C88" s="65">
        <v>42083</v>
      </c>
      <c r="D88" s="1">
        <v>132.34</v>
      </c>
      <c r="E88" s="1"/>
    </row>
    <row r="89" spans="3:5" x14ac:dyDescent="0.3">
      <c r="C89" s="65">
        <v>42084</v>
      </c>
      <c r="D89" s="67">
        <v>1188.81</v>
      </c>
      <c r="E89" s="67"/>
    </row>
    <row r="90" spans="3:5" x14ac:dyDescent="0.3">
      <c r="C90" s="65">
        <v>42085</v>
      </c>
      <c r="D90" s="1">
        <v>198.06</v>
      </c>
      <c r="E90" s="1"/>
    </row>
    <row r="91" spans="3:5" x14ac:dyDescent="0.3">
      <c r="C91" s="65">
        <v>42086</v>
      </c>
      <c r="D91" s="1">
        <v>594.16999999999996</v>
      </c>
      <c r="E91" s="1"/>
    </row>
    <row r="92" spans="3:5" x14ac:dyDescent="0.3">
      <c r="C92" s="65">
        <v>42087</v>
      </c>
      <c r="D92" s="1">
        <v>931.09</v>
      </c>
      <c r="E92" s="1"/>
    </row>
    <row r="93" spans="3:5" x14ac:dyDescent="0.3">
      <c r="C93" s="65">
        <v>42088</v>
      </c>
      <c r="D93" s="1">
        <v>299.64</v>
      </c>
      <c r="E93" s="1"/>
    </row>
    <row r="94" spans="3:5" x14ac:dyDescent="0.3">
      <c r="C94" s="65">
        <v>42223</v>
      </c>
      <c r="D94" s="67">
        <v>1701.68</v>
      </c>
      <c r="E94" s="67"/>
    </row>
    <row r="95" spans="3:5" x14ac:dyDescent="0.3">
      <c r="C95" s="65">
        <v>42090</v>
      </c>
      <c r="D95" s="1">
        <v>399.15</v>
      </c>
      <c r="E95" s="1"/>
    </row>
    <row r="96" spans="3:5" x14ac:dyDescent="0.3">
      <c r="C96" s="65">
        <v>42091</v>
      </c>
      <c r="D96" s="1">
        <v>374.81</v>
      </c>
      <c r="E96" s="1"/>
    </row>
    <row r="97" spans="3:5" x14ac:dyDescent="0.3">
      <c r="C97" s="65">
        <v>42092</v>
      </c>
      <c r="D97" s="1">
        <v>462.17</v>
      </c>
      <c r="E97" s="1"/>
    </row>
    <row r="98" spans="3:5" x14ac:dyDescent="0.3">
      <c r="C98" s="65">
        <v>42093</v>
      </c>
      <c r="D98" s="1">
        <v>924.29</v>
      </c>
      <c r="E98" s="1"/>
    </row>
    <row r="99" spans="3:5" x14ac:dyDescent="0.3">
      <c r="C99" s="65">
        <v>42094</v>
      </c>
      <c r="D99" s="67">
        <v>5000.6000000000004</v>
      </c>
      <c r="E99" s="67"/>
    </row>
    <row r="100" spans="3:5" x14ac:dyDescent="0.3">
      <c r="C100" s="7"/>
      <c r="D100" s="66">
        <f>SUM(D10:D99)</f>
        <v>72741.76999999996</v>
      </c>
      <c r="E100" s="6"/>
    </row>
  </sheetData>
  <mergeCells count="1">
    <mergeCell ref="C3:E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ECAE-B5CC-435F-97A2-B401BDAFD01A}">
  <dimension ref="C1:J185"/>
  <sheetViews>
    <sheetView topLeftCell="A18" workbookViewId="0">
      <selection activeCell="E24" sqref="E24"/>
    </sheetView>
  </sheetViews>
  <sheetFormatPr defaultRowHeight="14.4" x14ac:dyDescent="0.3"/>
  <cols>
    <col min="3" max="3" width="4.33203125" customWidth="1"/>
    <col min="4" max="4" width="70.21875" bestFit="1" customWidth="1"/>
    <col min="5" max="10" width="8.88671875" customWidth="1"/>
  </cols>
  <sheetData>
    <row r="1" spans="3:10" ht="43.2" customHeight="1" x14ac:dyDescent="0.3">
      <c r="C1" s="113" t="s">
        <v>283</v>
      </c>
      <c r="D1" s="113"/>
      <c r="E1" s="113"/>
      <c r="F1" s="113"/>
      <c r="G1" s="113"/>
      <c r="H1" s="113"/>
      <c r="I1" s="113"/>
      <c r="J1" s="113"/>
    </row>
    <row r="4" spans="3:10" x14ac:dyDescent="0.3">
      <c r="C4" s="6">
        <v>1</v>
      </c>
      <c r="D4" s="7" t="s">
        <v>284</v>
      </c>
      <c r="E4" s="1"/>
      <c r="F4" s="1"/>
      <c r="G4" s="1"/>
      <c r="H4" s="1"/>
    </row>
    <row r="5" spans="3:10" x14ac:dyDescent="0.3">
      <c r="C5" s="108"/>
      <c r="D5" s="108"/>
      <c r="E5" s="1"/>
      <c r="F5" s="1"/>
      <c r="G5" s="1"/>
      <c r="H5" s="1"/>
    </row>
    <row r="6" spans="3:10" x14ac:dyDescent="0.3">
      <c r="C6" s="1"/>
      <c r="D6" s="6" t="s">
        <v>285</v>
      </c>
      <c r="E6" s="68" t="s">
        <v>286</v>
      </c>
      <c r="F6" s="1"/>
      <c r="G6" s="39"/>
      <c r="H6" s="1"/>
    </row>
    <row r="7" spans="3:10" x14ac:dyDescent="0.3">
      <c r="C7" s="1"/>
      <c r="D7" s="7" t="s">
        <v>287</v>
      </c>
      <c r="E7" s="76">
        <f>SUM(F28:F185)</f>
        <v>99498</v>
      </c>
      <c r="F7" s="7"/>
      <c r="G7" s="7"/>
      <c r="H7" s="1"/>
    </row>
    <row r="8" spans="3:10" x14ac:dyDescent="0.3">
      <c r="C8" s="108"/>
      <c r="D8" s="108"/>
      <c r="E8" s="1"/>
      <c r="F8" s="1"/>
      <c r="G8" s="1"/>
      <c r="H8" s="1"/>
    </row>
    <row r="9" spans="3:10" x14ac:dyDescent="0.3">
      <c r="C9" s="1"/>
      <c r="D9" s="6" t="s">
        <v>285</v>
      </c>
      <c r="E9" s="68" t="s">
        <v>288</v>
      </c>
      <c r="F9" s="1"/>
      <c r="G9" s="1"/>
      <c r="H9" s="1"/>
    </row>
    <row r="10" spans="3:10" x14ac:dyDescent="0.3">
      <c r="C10" s="1"/>
      <c r="D10" s="7" t="s">
        <v>287</v>
      </c>
      <c r="E10" s="76">
        <f>SUM(G28:G185)</f>
        <v>211409</v>
      </c>
      <c r="F10" s="7"/>
      <c r="G10" s="1"/>
      <c r="H10" s="1"/>
    </row>
    <row r="11" spans="3:10" x14ac:dyDescent="0.3">
      <c r="C11" s="108"/>
      <c r="D11" s="108"/>
      <c r="E11" s="1"/>
      <c r="F11" s="1"/>
      <c r="G11" s="1"/>
      <c r="H11" s="1"/>
    </row>
    <row r="12" spans="3:10" x14ac:dyDescent="0.3">
      <c r="C12" s="1"/>
      <c r="D12" s="6" t="s">
        <v>285</v>
      </c>
      <c r="E12" s="68" t="s">
        <v>289</v>
      </c>
      <c r="F12" s="1"/>
      <c r="G12" s="1"/>
      <c r="H12" s="1"/>
    </row>
    <row r="13" spans="3:10" x14ac:dyDescent="0.3">
      <c r="C13" s="1"/>
      <c r="D13" s="7" t="s">
        <v>287</v>
      </c>
      <c r="E13" s="76">
        <f>SUM(H28:H185)</f>
        <v>127820</v>
      </c>
      <c r="F13" s="7"/>
      <c r="G13" s="1"/>
      <c r="H13" s="1"/>
    </row>
    <row r="14" spans="3:10" x14ac:dyDescent="0.3">
      <c r="C14" s="108"/>
      <c r="D14" s="108"/>
      <c r="E14" s="1"/>
      <c r="F14" s="1"/>
      <c r="G14" s="1"/>
      <c r="H14" s="1"/>
    </row>
    <row r="15" spans="3:10" x14ac:dyDescent="0.3">
      <c r="C15" s="6">
        <v>2</v>
      </c>
      <c r="D15" s="35" t="s">
        <v>290</v>
      </c>
      <c r="E15" s="69"/>
      <c r="F15" s="69"/>
      <c r="G15" s="69"/>
      <c r="H15" s="1"/>
    </row>
    <row r="16" spans="3:10" x14ac:dyDescent="0.3">
      <c r="C16" s="108"/>
      <c r="D16" s="114"/>
      <c r="E16" s="77">
        <f>SUM(F30:H30)</f>
        <v>5124</v>
      </c>
      <c r="F16" s="7"/>
      <c r="G16" s="7"/>
      <c r="H16" s="7"/>
    </row>
    <row r="17" spans="3:8" x14ac:dyDescent="0.3">
      <c r="C17" s="108"/>
      <c r="D17" s="108"/>
      <c r="E17" s="1"/>
      <c r="F17" s="1"/>
      <c r="G17" s="1"/>
      <c r="H17" s="1"/>
    </row>
    <row r="18" spans="3:8" x14ac:dyDescent="0.3">
      <c r="C18" s="6">
        <v>3</v>
      </c>
      <c r="D18" s="35" t="s">
        <v>291</v>
      </c>
      <c r="E18" s="69"/>
      <c r="F18" s="69"/>
      <c r="G18" s="69"/>
      <c r="H18" s="69"/>
    </row>
    <row r="19" spans="3:8" x14ac:dyDescent="0.3">
      <c r="C19" s="108"/>
      <c r="D19" s="114"/>
      <c r="E19" s="77">
        <f>SUM(F28:H47)</f>
        <v>89884</v>
      </c>
      <c r="F19" s="7"/>
      <c r="G19" s="70"/>
      <c r="H19" s="7"/>
    </row>
    <row r="20" spans="3:8" x14ac:dyDescent="0.3">
      <c r="C20" s="108"/>
      <c r="D20" s="108"/>
      <c r="E20" s="1"/>
      <c r="F20" s="1"/>
      <c r="G20" s="70"/>
      <c r="H20" s="7"/>
    </row>
    <row r="21" spans="3:8" x14ac:dyDescent="0.3">
      <c r="C21" s="6">
        <v>4</v>
      </c>
      <c r="D21" s="35" t="s">
        <v>292</v>
      </c>
      <c r="E21" s="69"/>
      <c r="F21" s="69"/>
      <c r="G21" s="69"/>
      <c r="H21" s="69"/>
    </row>
    <row r="22" spans="3:8" x14ac:dyDescent="0.3">
      <c r="C22" s="1"/>
      <c r="D22" s="7" t="s">
        <v>293</v>
      </c>
      <c r="E22" s="78">
        <f>SUM(F28:F185)</f>
        <v>99498</v>
      </c>
      <c r="F22" s="7"/>
      <c r="G22" s="1"/>
      <c r="H22" s="6"/>
    </row>
    <row r="23" spans="3:8" x14ac:dyDescent="0.3">
      <c r="C23" s="1"/>
      <c r="D23" s="7" t="s">
        <v>294</v>
      </c>
      <c r="E23" s="79">
        <f>SUM(H28:H185)</f>
        <v>127820</v>
      </c>
      <c r="F23" s="7"/>
      <c r="G23" s="1"/>
      <c r="H23" s="7"/>
    </row>
    <row r="24" spans="3:8" x14ac:dyDescent="0.3">
      <c r="C24" s="108"/>
      <c r="D24" s="108"/>
      <c r="E24" s="1"/>
      <c r="F24" s="1"/>
      <c r="G24" s="1"/>
      <c r="H24" s="7"/>
    </row>
    <row r="25" spans="3:8" x14ac:dyDescent="0.3">
      <c r="C25" s="108"/>
      <c r="D25" s="108"/>
      <c r="E25" s="1"/>
      <c r="F25" s="1"/>
      <c r="G25" s="1"/>
      <c r="H25" s="7"/>
    </row>
    <row r="26" spans="3:8" x14ac:dyDescent="0.3">
      <c r="C26" s="108"/>
      <c r="D26" s="108"/>
      <c r="E26" s="1"/>
      <c r="F26" s="115" t="s">
        <v>285</v>
      </c>
      <c r="G26" s="116"/>
      <c r="H26" s="116"/>
    </row>
    <row r="27" spans="3:8" x14ac:dyDescent="0.3">
      <c r="C27" s="1"/>
      <c r="D27" s="68" t="s">
        <v>295</v>
      </c>
      <c r="E27" s="68" t="s">
        <v>296</v>
      </c>
      <c r="F27" s="68" t="s">
        <v>286</v>
      </c>
      <c r="G27" s="68" t="s">
        <v>288</v>
      </c>
      <c r="H27" s="68" t="s">
        <v>289</v>
      </c>
    </row>
    <row r="28" spans="3:8" x14ac:dyDescent="0.3">
      <c r="C28" s="1"/>
      <c r="D28" s="71" t="s">
        <v>297</v>
      </c>
      <c r="E28" s="71" t="s">
        <v>298</v>
      </c>
      <c r="F28" s="72">
        <v>3419</v>
      </c>
      <c r="G28" s="72">
        <v>4378</v>
      </c>
      <c r="H28" s="73">
        <v>2755</v>
      </c>
    </row>
    <row r="29" spans="3:8" x14ac:dyDescent="0.3">
      <c r="C29" s="1"/>
      <c r="D29" s="71" t="s">
        <v>297</v>
      </c>
      <c r="E29" s="71" t="s">
        <v>299</v>
      </c>
      <c r="F29" s="72">
        <v>1492</v>
      </c>
      <c r="G29" s="72">
        <v>2126</v>
      </c>
      <c r="H29" s="73">
        <v>2103</v>
      </c>
    </row>
    <row r="30" spans="3:8" x14ac:dyDescent="0.3">
      <c r="C30" s="1"/>
      <c r="D30" s="71" t="s">
        <v>297</v>
      </c>
      <c r="E30" s="71" t="s">
        <v>300</v>
      </c>
      <c r="F30" s="72">
        <v>1371</v>
      </c>
      <c r="G30" s="72">
        <v>1930</v>
      </c>
      <c r="H30" s="73">
        <v>1823</v>
      </c>
    </row>
    <row r="31" spans="3:8" x14ac:dyDescent="0.3">
      <c r="C31" s="1"/>
      <c r="D31" s="71" t="s">
        <v>297</v>
      </c>
      <c r="E31" s="71" t="s">
        <v>301</v>
      </c>
      <c r="F31" s="72">
        <v>1607</v>
      </c>
      <c r="G31" s="72">
        <v>2133</v>
      </c>
      <c r="H31" s="73">
        <v>2102</v>
      </c>
    </row>
    <row r="32" spans="3:8" x14ac:dyDescent="0.3">
      <c r="C32" s="1"/>
      <c r="D32" s="71" t="s">
        <v>297</v>
      </c>
      <c r="E32" s="71" t="s">
        <v>302</v>
      </c>
      <c r="F32" s="74">
        <v>951</v>
      </c>
      <c r="G32" s="72">
        <v>1445</v>
      </c>
      <c r="H32" s="73">
        <v>1416</v>
      </c>
    </row>
    <row r="33" spans="3:8" x14ac:dyDescent="0.3">
      <c r="C33" s="1"/>
      <c r="D33" s="71" t="s">
        <v>297</v>
      </c>
      <c r="E33" s="71" t="s">
        <v>303</v>
      </c>
      <c r="F33" s="74">
        <v>889</v>
      </c>
      <c r="G33" s="72">
        <v>1293</v>
      </c>
      <c r="H33" s="73">
        <v>1526</v>
      </c>
    </row>
    <row r="34" spans="3:8" x14ac:dyDescent="0.3">
      <c r="C34" s="1"/>
      <c r="D34" s="71" t="s">
        <v>297</v>
      </c>
      <c r="E34" s="71" t="s">
        <v>304</v>
      </c>
      <c r="F34" s="72">
        <v>1254</v>
      </c>
      <c r="G34" s="72">
        <v>1989</v>
      </c>
      <c r="H34" s="73">
        <v>1685</v>
      </c>
    </row>
    <row r="35" spans="3:8" x14ac:dyDescent="0.3">
      <c r="C35" s="1"/>
      <c r="D35" s="71" t="s">
        <v>297</v>
      </c>
      <c r="E35" s="71" t="s">
        <v>305</v>
      </c>
      <c r="F35" s="72">
        <v>1025</v>
      </c>
      <c r="G35" s="72">
        <v>1362</v>
      </c>
      <c r="H35" s="73">
        <v>2077</v>
      </c>
    </row>
    <row r="36" spans="3:8" x14ac:dyDescent="0.3">
      <c r="C36" s="1"/>
      <c r="D36" s="71" t="s">
        <v>297</v>
      </c>
      <c r="E36" s="71" t="s">
        <v>306</v>
      </c>
      <c r="F36" s="72">
        <v>1194</v>
      </c>
      <c r="G36" s="72">
        <v>2016</v>
      </c>
      <c r="H36" s="73">
        <v>1452</v>
      </c>
    </row>
    <row r="37" spans="3:8" x14ac:dyDescent="0.3">
      <c r="C37" s="1"/>
      <c r="D37" s="71" t="s">
        <v>297</v>
      </c>
      <c r="E37" s="71" t="s">
        <v>307</v>
      </c>
      <c r="F37" s="74">
        <v>607</v>
      </c>
      <c r="G37" s="74">
        <v>853</v>
      </c>
      <c r="H37" s="73">
        <v>1022</v>
      </c>
    </row>
    <row r="38" spans="3:8" x14ac:dyDescent="0.3">
      <c r="C38" s="1"/>
      <c r="D38" s="71" t="s">
        <v>297</v>
      </c>
      <c r="E38" s="71" t="s">
        <v>308</v>
      </c>
      <c r="F38" s="74">
        <v>626</v>
      </c>
      <c r="G38" s="72">
        <v>1569</v>
      </c>
      <c r="H38" s="73">
        <v>1033</v>
      </c>
    </row>
    <row r="39" spans="3:8" x14ac:dyDescent="0.3">
      <c r="C39" s="1"/>
      <c r="D39" s="71" t="s">
        <v>297</v>
      </c>
      <c r="E39" s="71" t="s">
        <v>309</v>
      </c>
      <c r="F39" s="72">
        <v>1037</v>
      </c>
      <c r="G39" s="72">
        <v>2300</v>
      </c>
      <c r="H39" s="73">
        <v>1598</v>
      </c>
    </row>
    <row r="40" spans="3:8" x14ac:dyDescent="0.3">
      <c r="C40" s="1"/>
      <c r="D40" s="71" t="s">
        <v>297</v>
      </c>
      <c r="E40" s="71" t="s">
        <v>310</v>
      </c>
      <c r="F40" s="74">
        <v>972</v>
      </c>
      <c r="G40" s="72">
        <v>2128</v>
      </c>
      <c r="H40" s="75">
        <v>912</v>
      </c>
    </row>
    <row r="41" spans="3:8" x14ac:dyDescent="0.3">
      <c r="C41" s="1"/>
      <c r="D41" s="71" t="s">
        <v>297</v>
      </c>
      <c r="E41" s="71" t="s">
        <v>311</v>
      </c>
      <c r="F41" s="74">
        <v>88</v>
      </c>
      <c r="G41" s="72">
        <v>1159</v>
      </c>
      <c r="H41" s="75">
        <v>0</v>
      </c>
    </row>
    <row r="42" spans="3:8" x14ac:dyDescent="0.3">
      <c r="C42" s="1"/>
      <c r="D42" s="71" t="s">
        <v>297</v>
      </c>
      <c r="E42" s="71" t="s">
        <v>312</v>
      </c>
      <c r="F42" s="72">
        <v>2052</v>
      </c>
      <c r="G42" s="72">
        <v>2159</v>
      </c>
      <c r="H42" s="73">
        <v>1582</v>
      </c>
    </row>
    <row r="43" spans="3:8" x14ac:dyDescent="0.3">
      <c r="C43" s="1"/>
      <c r="D43" s="71" t="s">
        <v>297</v>
      </c>
      <c r="E43" s="71" t="s">
        <v>313</v>
      </c>
      <c r="F43" s="72">
        <v>1582</v>
      </c>
      <c r="G43" s="72">
        <v>2308</v>
      </c>
      <c r="H43" s="73">
        <v>1699</v>
      </c>
    </row>
    <row r="44" spans="3:8" x14ac:dyDescent="0.3">
      <c r="C44" s="1"/>
      <c r="D44" s="71" t="s">
        <v>297</v>
      </c>
      <c r="E44" s="71" t="s">
        <v>314</v>
      </c>
      <c r="F44" s="72">
        <v>1088</v>
      </c>
      <c r="G44" s="72">
        <v>1218</v>
      </c>
      <c r="H44" s="75">
        <v>981</v>
      </c>
    </row>
    <row r="45" spans="3:8" x14ac:dyDescent="0.3">
      <c r="C45" s="1"/>
      <c r="D45" s="71" t="s">
        <v>297</v>
      </c>
      <c r="E45" s="71" t="s">
        <v>315</v>
      </c>
      <c r="F45" s="74">
        <v>706</v>
      </c>
      <c r="G45" s="72">
        <v>1151</v>
      </c>
      <c r="H45" s="73">
        <v>1145</v>
      </c>
    </row>
    <row r="46" spans="3:8" x14ac:dyDescent="0.3">
      <c r="C46" s="1"/>
      <c r="D46" s="71" t="s">
        <v>297</v>
      </c>
      <c r="E46" s="71" t="s">
        <v>316</v>
      </c>
      <c r="F46" s="72">
        <v>1335</v>
      </c>
      <c r="G46" s="72">
        <v>2098</v>
      </c>
      <c r="H46" s="73">
        <v>1322</v>
      </c>
    </row>
    <row r="47" spans="3:8" x14ac:dyDescent="0.3">
      <c r="C47" s="1"/>
      <c r="D47" s="71" t="s">
        <v>297</v>
      </c>
      <c r="E47" s="71" t="s">
        <v>317</v>
      </c>
      <c r="F47" s="74">
        <v>702</v>
      </c>
      <c r="G47" s="72">
        <v>1162</v>
      </c>
      <c r="H47" s="75">
        <v>877</v>
      </c>
    </row>
    <row r="48" spans="3:8" x14ac:dyDescent="0.3">
      <c r="C48" s="1"/>
      <c r="D48" s="71" t="s">
        <v>297</v>
      </c>
      <c r="E48" s="71" t="s">
        <v>318</v>
      </c>
      <c r="F48" s="74">
        <v>968</v>
      </c>
      <c r="G48" s="72">
        <v>1101</v>
      </c>
      <c r="H48" s="75">
        <v>797</v>
      </c>
    </row>
    <row r="49" spans="3:8" x14ac:dyDescent="0.3">
      <c r="C49" s="1"/>
      <c r="D49" s="71" t="s">
        <v>297</v>
      </c>
      <c r="E49" s="71" t="s">
        <v>319</v>
      </c>
      <c r="F49" s="72">
        <v>1664</v>
      </c>
      <c r="G49" s="72">
        <v>2069</v>
      </c>
      <c r="H49" s="73">
        <v>1710</v>
      </c>
    </row>
    <row r="50" spans="3:8" x14ac:dyDescent="0.3">
      <c r="C50" s="1"/>
      <c r="D50" s="71" t="s">
        <v>297</v>
      </c>
      <c r="E50" s="71" t="s">
        <v>320</v>
      </c>
      <c r="F50" s="74">
        <v>624</v>
      </c>
      <c r="G50" s="74">
        <v>770</v>
      </c>
      <c r="H50" s="75">
        <v>746</v>
      </c>
    </row>
    <row r="51" spans="3:8" x14ac:dyDescent="0.3">
      <c r="C51" s="1"/>
      <c r="D51" s="71" t="s">
        <v>297</v>
      </c>
      <c r="E51" s="71" t="s">
        <v>321</v>
      </c>
      <c r="F51" s="74">
        <v>685</v>
      </c>
      <c r="G51" s="72">
        <v>1501</v>
      </c>
      <c r="H51" s="73">
        <v>1126</v>
      </c>
    </row>
    <row r="52" spans="3:8" x14ac:dyDescent="0.3">
      <c r="C52" s="1"/>
      <c r="D52" s="71" t="s">
        <v>297</v>
      </c>
      <c r="E52" s="71" t="s">
        <v>322</v>
      </c>
      <c r="F52" s="72">
        <v>1248</v>
      </c>
      <c r="G52" s="72">
        <v>1763</v>
      </c>
      <c r="H52" s="73">
        <v>1146</v>
      </c>
    </row>
    <row r="53" spans="3:8" x14ac:dyDescent="0.3">
      <c r="C53" s="1"/>
      <c r="D53" s="71" t="s">
        <v>297</v>
      </c>
      <c r="E53" s="71" t="s">
        <v>323</v>
      </c>
      <c r="F53" s="72">
        <v>1342</v>
      </c>
      <c r="G53" s="72">
        <v>1559</v>
      </c>
      <c r="H53" s="73">
        <v>1307</v>
      </c>
    </row>
    <row r="54" spans="3:8" x14ac:dyDescent="0.3">
      <c r="C54" s="1"/>
      <c r="D54" s="71" t="s">
        <v>297</v>
      </c>
      <c r="E54" s="71" t="s">
        <v>324</v>
      </c>
      <c r="F54" s="74">
        <v>760</v>
      </c>
      <c r="G54" s="74">
        <v>965</v>
      </c>
      <c r="H54" s="75">
        <v>921</v>
      </c>
    </row>
    <row r="55" spans="3:8" x14ac:dyDescent="0.3">
      <c r="C55" s="1"/>
      <c r="D55" s="71" t="s">
        <v>297</v>
      </c>
      <c r="E55" s="71" t="s">
        <v>325</v>
      </c>
      <c r="F55" s="72">
        <v>1187</v>
      </c>
      <c r="G55" s="72">
        <v>1568</v>
      </c>
      <c r="H55" s="73">
        <v>1190</v>
      </c>
    </row>
    <row r="56" spans="3:8" x14ac:dyDescent="0.3">
      <c r="C56" s="1"/>
      <c r="D56" s="71" t="s">
        <v>297</v>
      </c>
      <c r="E56" s="71" t="s">
        <v>326</v>
      </c>
      <c r="F56" s="74">
        <v>0</v>
      </c>
      <c r="G56" s="74">
        <v>0</v>
      </c>
      <c r="H56" s="75">
        <v>277</v>
      </c>
    </row>
    <row r="57" spans="3:8" x14ac:dyDescent="0.3">
      <c r="C57" s="1"/>
      <c r="D57" s="71" t="s">
        <v>297</v>
      </c>
      <c r="E57" s="71" t="s">
        <v>327</v>
      </c>
      <c r="F57" s="74">
        <v>368</v>
      </c>
      <c r="G57" s="72">
        <v>1386</v>
      </c>
      <c r="H57" s="75">
        <v>637</v>
      </c>
    </row>
    <row r="58" spans="3:8" x14ac:dyDescent="0.3">
      <c r="C58" s="1"/>
      <c r="D58" s="71" t="s">
        <v>297</v>
      </c>
      <c r="E58" s="71" t="s">
        <v>328</v>
      </c>
      <c r="F58" s="74">
        <v>317</v>
      </c>
      <c r="G58" s="72">
        <v>1215</v>
      </c>
      <c r="H58" s="75">
        <v>478</v>
      </c>
    </row>
    <row r="59" spans="3:8" x14ac:dyDescent="0.3">
      <c r="C59" s="1"/>
      <c r="D59" s="71" t="s">
        <v>297</v>
      </c>
      <c r="E59" s="71" t="s">
        <v>329</v>
      </c>
      <c r="F59" s="74">
        <v>689</v>
      </c>
      <c r="G59" s="72">
        <v>2544</v>
      </c>
      <c r="H59" s="73">
        <v>1009</v>
      </c>
    </row>
    <row r="60" spans="3:8" x14ac:dyDescent="0.3">
      <c r="C60" s="1"/>
      <c r="D60" s="71" t="s">
        <v>297</v>
      </c>
      <c r="E60" s="71" t="s">
        <v>330</v>
      </c>
      <c r="F60" s="74">
        <v>510</v>
      </c>
      <c r="G60" s="72">
        <v>2583</v>
      </c>
      <c r="H60" s="75">
        <v>861</v>
      </c>
    </row>
    <row r="61" spans="3:8" x14ac:dyDescent="0.3">
      <c r="C61" s="1"/>
      <c r="D61" s="71" t="s">
        <v>297</v>
      </c>
      <c r="E61" s="71" t="s">
        <v>331</v>
      </c>
      <c r="F61" s="74">
        <v>257</v>
      </c>
      <c r="G61" s="72">
        <v>1023</v>
      </c>
      <c r="H61" s="75">
        <v>446</v>
      </c>
    </row>
    <row r="62" spans="3:8" x14ac:dyDescent="0.3">
      <c r="C62" s="1"/>
      <c r="D62" s="71" t="s">
        <v>297</v>
      </c>
      <c r="E62" s="71" t="s">
        <v>332</v>
      </c>
      <c r="F62" s="74">
        <v>335</v>
      </c>
      <c r="G62" s="72">
        <v>1225</v>
      </c>
      <c r="H62" s="75">
        <v>520</v>
      </c>
    </row>
    <row r="63" spans="3:8" x14ac:dyDescent="0.3">
      <c r="C63" s="1"/>
      <c r="D63" s="71" t="s">
        <v>297</v>
      </c>
      <c r="E63" s="71" t="s">
        <v>333</v>
      </c>
      <c r="F63" s="74">
        <v>264</v>
      </c>
      <c r="G63" s="74">
        <v>957</v>
      </c>
      <c r="H63" s="75">
        <v>405</v>
      </c>
    </row>
    <row r="64" spans="3:8" x14ac:dyDescent="0.3">
      <c r="C64" s="1"/>
      <c r="D64" s="71" t="s">
        <v>297</v>
      </c>
      <c r="E64" s="71" t="s">
        <v>334</v>
      </c>
      <c r="F64" s="74">
        <v>285</v>
      </c>
      <c r="G64" s="74">
        <v>869</v>
      </c>
      <c r="H64" s="75">
        <v>434</v>
      </c>
    </row>
    <row r="65" spans="3:8" x14ac:dyDescent="0.3">
      <c r="C65" s="1"/>
      <c r="D65" s="71" t="s">
        <v>297</v>
      </c>
      <c r="E65" s="71" t="s">
        <v>335</v>
      </c>
      <c r="F65" s="74">
        <v>550</v>
      </c>
      <c r="G65" s="72">
        <v>2502</v>
      </c>
      <c r="H65" s="75">
        <v>822</v>
      </c>
    </row>
    <row r="66" spans="3:8" x14ac:dyDescent="0.3">
      <c r="C66" s="1"/>
      <c r="D66" s="71" t="s">
        <v>297</v>
      </c>
      <c r="E66" s="71" t="s">
        <v>336</v>
      </c>
      <c r="F66" s="74">
        <v>266</v>
      </c>
      <c r="G66" s="72">
        <v>1382</v>
      </c>
      <c r="H66" s="75">
        <v>501</v>
      </c>
    </row>
    <row r="67" spans="3:8" x14ac:dyDescent="0.3">
      <c r="C67" s="1"/>
      <c r="D67" s="71" t="s">
        <v>297</v>
      </c>
      <c r="E67" s="71" t="s">
        <v>337</v>
      </c>
      <c r="F67" s="74">
        <v>598</v>
      </c>
      <c r="G67" s="72">
        <v>2107</v>
      </c>
      <c r="H67" s="73">
        <v>1002</v>
      </c>
    </row>
    <row r="68" spans="3:8" x14ac:dyDescent="0.3">
      <c r="C68" s="1"/>
      <c r="D68" s="71" t="s">
        <v>297</v>
      </c>
      <c r="E68" s="71" t="s">
        <v>338</v>
      </c>
      <c r="F68" s="74">
        <v>344</v>
      </c>
      <c r="G68" s="72">
        <v>1641</v>
      </c>
      <c r="H68" s="75">
        <v>765</v>
      </c>
    </row>
    <row r="69" spans="3:8" x14ac:dyDescent="0.3">
      <c r="C69" s="1"/>
      <c r="D69" s="71" t="s">
        <v>297</v>
      </c>
      <c r="E69" s="71" t="s">
        <v>339</v>
      </c>
      <c r="F69" s="74">
        <v>183</v>
      </c>
      <c r="G69" s="74">
        <v>867</v>
      </c>
      <c r="H69" s="75">
        <v>384</v>
      </c>
    </row>
    <row r="70" spans="3:8" x14ac:dyDescent="0.3">
      <c r="C70" s="1"/>
      <c r="D70" s="71" t="s">
        <v>297</v>
      </c>
      <c r="E70" s="71" t="s">
        <v>340</v>
      </c>
      <c r="F70" s="74">
        <v>302</v>
      </c>
      <c r="G70" s="72">
        <v>1326</v>
      </c>
      <c r="H70" s="75">
        <v>586</v>
      </c>
    </row>
    <row r="71" spans="3:8" x14ac:dyDescent="0.3">
      <c r="C71" s="1"/>
      <c r="D71" s="71" t="s">
        <v>297</v>
      </c>
      <c r="E71" s="71" t="s">
        <v>341</v>
      </c>
      <c r="F71" s="74">
        <v>177</v>
      </c>
      <c r="G71" s="74">
        <v>823</v>
      </c>
      <c r="H71" s="75">
        <v>548</v>
      </c>
    </row>
    <row r="72" spans="3:8" x14ac:dyDescent="0.3">
      <c r="C72" s="1"/>
      <c r="D72" s="71" t="s">
        <v>297</v>
      </c>
      <c r="E72" s="71" t="s">
        <v>342</v>
      </c>
      <c r="F72" s="74">
        <v>285</v>
      </c>
      <c r="G72" s="72">
        <v>1249</v>
      </c>
      <c r="H72" s="75">
        <v>533</v>
      </c>
    </row>
    <row r="73" spans="3:8" x14ac:dyDescent="0.3">
      <c r="C73" s="1"/>
      <c r="D73" s="71" t="s">
        <v>297</v>
      </c>
      <c r="E73" s="71" t="s">
        <v>343</v>
      </c>
      <c r="F73" s="74">
        <v>236</v>
      </c>
      <c r="G73" s="72">
        <v>1162</v>
      </c>
      <c r="H73" s="75">
        <v>402</v>
      </c>
    </row>
    <row r="74" spans="3:8" x14ac:dyDescent="0.3">
      <c r="C74" s="1"/>
      <c r="D74" s="71" t="s">
        <v>297</v>
      </c>
      <c r="E74" s="71" t="s">
        <v>344</v>
      </c>
      <c r="F74" s="74">
        <v>293</v>
      </c>
      <c r="G74" s="72">
        <v>1016</v>
      </c>
      <c r="H74" s="75">
        <v>585</v>
      </c>
    </row>
    <row r="75" spans="3:8" x14ac:dyDescent="0.3">
      <c r="C75" s="1"/>
      <c r="D75" s="71" t="s">
        <v>297</v>
      </c>
      <c r="E75" s="71" t="s">
        <v>345</v>
      </c>
      <c r="F75" s="74">
        <v>242</v>
      </c>
      <c r="G75" s="72">
        <v>1363</v>
      </c>
      <c r="H75" s="75">
        <v>428</v>
      </c>
    </row>
    <row r="76" spans="3:8" x14ac:dyDescent="0.3">
      <c r="C76" s="1"/>
      <c r="D76" s="71" t="s">
        <v>297</v>
      </c>
      <c r="E76" s="71" t="s">
        <v>346</v>
      </c>
      <c r="F76" s="74">
        <v>248</v>
      </c>
      <c r="G76" s="72">
        <v>1398</v>
      </c>
      <c r="H76" s="75">
        <v>476</v>
      </c>
    </row>
    <row r="77" spans="3:8" x14ac:dyDescent="0.3">
      <c r="C77" s="1"/>
      <c r="D77" s="71" t="s">
        <v>297</v>
      </c>
      <c r="E77" s="71" t="s">
        <v>347</v>
      </c>
      <c r="F77" s="74">
        <v>292</v>
      </c>
      <c r="G77" s="72">
        <v>1380</v>
      </c>
      <c r="H77" s="75">
        <v>456</v>
      </c>
    </row>
    <row r="78" spans="3:8" x14ac:dyDescent="0.3">
      <c r="C78" s="1"/>
      <c r="D78" s="71" t="s">
        <v>297</v>
      </c>
      <c r="E78" s="71" t="s">
        <v>348</v>
      </c>
      <c r="F78" s="74">
        <v>196</v>
      </c>
      <c r="G78" s="72">
        <v>1238</v>
      </c>
      <c r="H78" s="75">
        <v>493</v>
      </c>
    </row>
    <row r="79" spans="3:8" x14ac:dyDescent="0.3">
      <c r="C79" s="1"/>
      <c r="D79" s="71" t="s">
        <v>297</v>
      </c>
      <c r="E79" s="71" t="s">
        <v>349</v>
      </c>
      <c r="F79" s="74">
        <v>432</v>
      </c>
      <c r="G79" s="72">
        <v>1216</v>
      </c>
      <c r="H79" s="75">
        <v>552</v>
      </c>
    </row>
    <row r="80" spans="3:8" x14ac:dyDescent="0.3">
      <c r="C80" s="1"/>
      <c r="D80" s="71" t="s">
        <v>297</v>
      </c>
      <c r="E80" s="71" t="s">
        <v>350</v>
      </c>
      <c r="F80" s="74">
        <v>420</v>
      </c>
      <c r="G80" s="72">
        <v>1581</v>
      </c>
      <c r="H80" s="75">
        <v>525</v>
      </c>
    </row>
    <row r="81" spans="3:8" x14ac:dyDescent="0.3">
      <c r="C81" s="1"/>
      <c r="D81" s="71" t="s">
        <v>297</v>
      </c>
      <c r="E81" s="71" t="s">
        <v>351</v>
      </c>
      <c r="F81" s="74">
        <v>398</v>
      </c>
      <c r="G81" s="72">
        <v>1759</v>
      </c>
      <c r="H81" s="75">
        <v>682</v>
      </c>
    </row>
    <row r="82" spans="3:8" x14ac:dyDescent="0.3">
      <c r="C82" s="1"/>
      <c r="D82" s="71" t="s">
        <v>297</v>
      </c>
      <c r="E82" s="71" t="s">
        <v>352</v>
      </c>
      <c r="F82" s="74">
        <v>128</v>
      </c>
      <c r="G82" s="74">
        <v>791</v>
      </c>
      <c r="H82" s="75">
        <v>242</v>
      </c>
    </row>
    <row r="83" spans="3:8" x14ac:dyDescent="0.3">
      <c r="C83" s="1"/>
      <c r="D83" s="71" t="s">
        <v>297</v>
      </c>
      <c r="E83" s="71" t="s">
        <v>353</v>
      </c>
      <c r="F83" s="74">
        <v>225</v>
      </c>
      <c r="G83" s="74">
        <v>935</v>
      </c>
      <c r="H83" s="75">
        <v>432</v>
      </c>
    </row>
    <row r="84" spans="3:8" x14ac:dyDescent="0.3">
      <c r="C84" s="1"/>
      <c r="D84" s="71" t="s">
        <v>297</v>
      </c>
      <c r="E84" s="71" t="s">
        <v>354</v>
      </c>
      <c r="F84" s="72">
        <v>1358</v>
      </c>
      <c r="G84" s="72">
        <v>2231</v>
      </c>
      <c r="H84" s="73">
        <v>1391</v>
      </c>
    </row>
    <row r="85" spans="3:8" x14ac:dyDescent="0.3">
      <c r="C85" s="1"/>
      <c r="D85" s="71" t="s">
        <v>297</v>
      </c>
      <c r="E85" s="71" t="s">
        <v>355</v>
      </c>
      <c r="F85" s="72">
        <v>1345</v>
      </c>
      <c r="G85" s="72">
        <v>1791</v>
      </c>
      <c r="H85" s="73">
        <v>1460</v>
      </c>
    </row>
    <row r="86" spans="3:8" x14ac:dyDescent="0.3">
      <c r="C86" s="1"/>
      <c r="D86" s="71" t="s">
        <v>297</v>
      </c>
      <c r="E86" s="71" t="s">
        <v>356</v>
      </c>
      <c r="F86" s="74">
        <v>769</v>
      </c>
      <c r="G86" s="72">
        <v>1948</v>
      </c>
      <c r="H86" s="73">
        <v>1011</v>
      </c>
    </row>
    <row r="87" spans="3:8" x14ac:dyDescent="0.3">
      <c r="C87" s="1"/>
      <c r="D87" s="71" t="s">
        <v>297</v>
      </c>
      <c r="E87" s="71" t="s">
        <v>357</v>
      </c>
      <c r="F87" s="74">
        <v>560</v>
      </c>
      <c r="G87" s="72">
        <v>1835</v>
      </c>
      <c r="H87" s="75">
        <v>642</v>
      </c>
    </row>
    <row r="88" spans="3:8" x14ac:dyDescent="0.3">
      <c r="C88" s="1"/>
      <c r="D88" s="71" t="s">
        <v>297</v>
      </c>
      <c r="E88" s="71" t="s">
        <v>358</v>
      </c>
      <c r="F88" s="74">
        <v>836</v>
      </c>
      <c r="G88" s="72">
        <v>2245</v>
      </c>
      <c r="H88" s="75">
        <v>861</v>
      </c>
    </row>
    <row r="89" spans="3:8" x14ac:dyDescent="0.3">
      <c r="C89" s="1"/>
      <c r="D89" s="71" t="s">
        <v>297</v>
      </c>
      <c r="E89" s="71" t="s">
        <v>359</v>
      </c>
      <c r="F89" s="74">
        <v>587</v>
      </c>
      <c r="G89" s="72">
        <v>1471</v>
      </c>
      <c r="H89" s="75">
        <v>623</v>
      </c>
    </row>
    <row r="90" spans="3:8" x14ac:dyDescent="0.3">
      <c r="C90" s="1"/>
      <c r="D90" s="71" t="s">
        <v>297</v>
      </c>
      <c r="E90" s="71" t="s">
        <v>360</v>
      </c>
      <c r="F90" s="74">
        <v>774</v>
      </c>
      <c r="G90" s="72">
        <v>1403</v>
      </c>
      <c r="H90" s="73">
        <v>1085</v>
      </c>
    </row>
    <row r="91" spans="3:8" x14ac:dyDescent="0.3">
      <c r="C91" s="1"/>
      <c r="D91" s="71" t="s">
        <v>297</v>
      </c>
      <c r="E91" s="71" t="s">
        <v>361</v>
      </c>
      <c r="F91" s="74">
        <v>757</v>
      </c>
      <c r="G91" s="72">
        <v>1203</v>
      </c>
      <c r="H91" s="73">
        <v>1175</v>
      </c>
    </row>
    <row r="92" spans="3:8" x14ac:dyDescent="0.3">
      <c r="C92" s="1"/>
      <c r="D92" s="71" t="s">
        <v>297</v>
      </c>
      <c r="E92" s="71" t="s">
        <v>362</v>
      </c>
      <c r="F92" s="74">
        <v>591</v>
      </c>
      <c r="G92" s="72">
        <v>1439</v>
      </c>
      <c r="H92" s="75">
        <v>858</v>
      </c>
    </row>
    <row r="93" spans="3:8" x14ac:dyDescent="0.3">
      <c r="C93" s="1"/>
      <c r="D93" s="71" t="s">
        <v>297</v>
      </c>
      <c r="E93" s="71" t="s">
        <v>363</v>
      </c>
      <c r="F93" s="74">
        <v>457</v>
      </c>
      <c r="G93" s="72">
        <v>1161</v>
      </c>
      <c r="H93" s="75">
        <v>594</v>
      </c>
    </row>
    <row r="94" spans="3:8" x14ac:dyDescent="0.3">
      <c r="C94" s="1"/>
      <c r="D94" s="71" t="s">
        <v>297</v>
      </c>
      <c r="E94" s="71" t="s">
        <v>364</v>
      </c>
      <c r="F94" s="74">
        <v>494</v>
      </c>
      <c r="G94" s="72">
        <v>1585</v>
      </c>
      <c r="H94" s="75">
        <v>705</v>
      </c>
    </row>
    <row r="95" spans="3:8" x14ac:dyDescent="0.3">
      <c r="C95" s="1"/>
      <c r="D95" s="71" t="s">
        <v>297</v>
      </c>
      <c r="E95" s="71" t="s">
        <v>365</v>
      </c>
      <c r="F95" s="74">
        <v>914</v>
      </c>
      <c r="G95" s="72">
        <v>1727</v>
      </c>
      <c r="H95" s="73">
        <v>1308</v>
      </c>
    </row>
    <row r="96" spans="3:8" x14ac:dyDescent="0.3">
      <c r="C96" s="1"/>
      <c r="D96" s="71" t="s">
        <v>297</v>
      </c>
      <c r="E96" s="71" t="s">
        <v>366</v>
      </c>
      <c r="F96" s="74">
        <v>581</v>
      </c>
      <c r="G96" s="72">
        <v>1448</v>
      </c>
      <c r="H96" s="75">
        <v>885</v>
      </c>
    </row>
    <row r="97" spans="3:8" x14ac:dyDescent="0.3">
      <c r="C97" s="1"/>
      <c r="D97" s="71" t="s">
        <v>297</v>
      </c>
      <c r="E97" s="71" t="s">
        <v>367</v>
      </c>
      <c r="F97" s="74">
        <v>31</v>
      </c>
      <c r="G97" s="74">
        <v>0</v>
      </c>
      <c r="H97" s="75">
        <v>78</v>
      </c>
    </row>
    <row r="98" spans="3:8" x14ac:dyDescent="0.3">
      <c r="C98" s="1"/>
      <c r="D98" s="71" t="s">
        <v>297</v>
      </c>
      <c r="E98" s="71" t="s">
        <v>368</v>
      </c>
      <c r="F98" s="74">
        <v>92</v>
      </c>
      <c r="G98" s="74">
        <v>233</v>
      </c>
      <c r="H98" s="75">
        <v>494</v>
      </c>
    </row>
    <row r="99" spans="3:8" x14ac:dyDescent="0.3">
      <c r="C99" s="1"/>
      <c r="D99" s="71" t="s">
        <v>297</v>
      </c>
      <c r="E99" s="71" t="s">
        <v>369</v>
      </c>
      <c r="F99" s="74">
        <v>486</v>
      </c>
      <c r="G99" s="72">
        <v>1176</v>
      </c>
      <c r="H99" s="75">
        <v>400</v>
      </c>
    </row>
    <row r="100" spans="3:8" x14ac:dyDescent="0.3">
      <c r="C100" s="1"/>
      <c r="D100" s="71" t="s">
        <v>297</v>
      </c>
      <c r="E100" s="71" t="s">
        <v>370</v>
      </c>
      <c r="F100" s="74">
        <v>440</v>
      </c>
      <c r="G100" s="74">
        <v>874</v>
      </c>
      <c r="H100" s="75">
        <v>803</v>
      </c>
    </row>
    <row r="101" spans="3:8" x14ac:dyDescent="0.3">
      <c r="C101" s="1"/>
      <c r="D101" s="71" t="s">
        <v>297</v>
      </c>
      <c r="E101" s="71" t="s">
        <v>371</v>
      </c>
      <c r="F101" s="74">
        <v>127</v>
      </c>
      <c r="G101" s="74">
        <v>695</v>
      </c>
      <c r="H101" s="75">
        <v>440</v>
      </c>
    </row>
    <row r="102" spans="3:8" x14ac:dyDescent="0.3">
      <c r="C102" s="1"/>
      <c r="D102" s="71" t="s">
        <v>297</v>
      </c>
      <c r="E102" s="71" t="s">
        <v>372</v>
      </c>
      <c r="F102" s="74">
        <v>257</v>
      </c>
      <c r="G102" s="72">
        <v>1367</v>
      </c>
      <c r="H102" s="75">
        <v>544</v>
      </c>
    </row>
    <row r="103" spans="3:8" x14ac:dyDescent="0.3">
      <c r="C103" s="1"/>
      <c r="D103" s="71" t="s">
        <v>297</v>
      </c>
      <c r="E103" s="71" t="s">
        <v>373</v>
      </c>
      <c r="F103" s="74">
        <v>399</v>
      </c>
      <c r="G103" s="72">
        <v>1238</v>
      </c>
      <c r="H103" s="75">
        <v>622</v>
      </c>
    </row>
    <row r="104" spans="3:8" x14ac:dyDescent="0.3">
      <c r="C104" s="1"/>
      <c r="D104" s="71" t="s">
        <v>297</v>
      </c>
      <c r="E104" s="71" t="s">
        <v>374</v>
      </c>
      <c r="F104" s="74">
        <v>470</v>
      </c>
      <c r="G104" s="72">
        <v>1609</v>
      </c>
      <c r="H104" s="75">
        <v>662</v>
      </c>
    </row>
    <row r="105" spans="3:8" x14ac:dyDescent="0.3">
      <c r="C105" s="1"/>
      <c r="D105" s="71" t="s">
        <v>297</v>
      </c>
      <c r="E105" s="71" t="s">
        <v>375</v>
      </c>
      <c r="F105" s="74">
        <v>651</v>
      </c>
      <c r="G105" s="72">
        <v>2120</v>
      </c>
      <c r="H105" s="75">
        <v>824</v>
      </c>
    </row>
    <row r="106" spans="3:8" x14ac:dyDescent="0.3">
      <c r="C106" s="1"/>
      <c r="D106" s="71" t="s">
        <v>297</v>
      </c>
      <c r="E106" s="71" t="s">
        <v>376</v>
      </c>
      <c r="F106" s="74">
        <v>757</v>
      </c>
      <c r="G106" s="72">
        <v>2498</v>
      </c>
      <c r="H106" s="75">
        <v>846</v>
      </c>
    </row>
    <row r="107" spans="3:8" x14ac:dyDescent="0.3">
      <c r="C107" s="1"/>
      <c r="D107" s="71" t="s">
        <v>297</v>
      </c>
      <c r="E107" s="71" t="s">
        <v>377</v>
      </c>
      <c r="F107" s="74">
        <v>526</v>
      </c>
      <c r="G107" s="72">
        <v>1902</v>
      </c>
      <c r="H107" s="75">
        <v>743</v>
      </c>
    </row>
    <row r="108" spans="3:8" x14ac:dyDescent="0.3">
      <c r="C108" s="1"/>
      <c r="D108" s="71" t="s">
        <v>297</v>
      </c>
      <c r="E108" s="71" t="s">
        <v>378</v>
      </c>
      <c r="F108" s="74">
        <v>196</v>
      </c>
      <c r="G108" s="74">
        <v>994</v>
      </c>
      <c r="H108" s="75">
        <v>477</v>
      </c>
    </row>
    <row r="109" spans="3:8" x14ac:dyDescent="0.3">
      <c r="C109" s="1"/>
      <c r="D109" s="71" t="s">
        <v>297</v>
      </c>
      <c r="E109" s="71" t="s">
        <v>379</v>
      </c>
      <c r="F109" s="74">
        <v>260</v>
      </c>
      <c r="G109" s="72">
        <v>1010</v>
      </c>
      <c r="H109" s="75">
        <v>575</v>
      </c>
    </row>
    <row r="110" spans="3:8" x14ac:dyDescent="0.3">
      <c r="C110" s="1"/>
      <c r="D110" s="71" t="s">
        <v>297</v>
      </c>
      <c r="E110" s="71" t="s">
        <v>380</v>
      </c>
      <c r="F110" s="74">
        <v>192</v>
      </c>
      <c r="G110" s="74">
        <v>899</v>
      </c>
      <c r="H110" s="75">
        <v>369</v>
      </c>
    </row>
    <row r="111" spans="3:8" x14ac:dyDescent="0.3">
      <c r="C111" s="1"/>
      <c r="D111" s="71" t="s">
        <v>297</v>
      </c>
      <c r="E111" s="71" t="s">
        <v>381</v>
      </c>
      <c r="F111" s="74">
        <v>177</v>
      </c>
      <c r="G111" s="74">
        <v>284</v>
      </c>
      <c r="H111" s="75">
        <v>174</v>
      </c>
    </row>
    <row r="112" spans="3:8" x14ac:dyDescent="0.3">
      <c r="C112" s="1"/>
      <c r="D112" s="71" t="s">
        <v>297</v>
      </c>
      <c r="E112" s="71" t="s">
        <v>382</v>
      </c>
      <c r="F112" s="74">
        <v>741</v>
      </c>
      <c r="G112" s="72">
        <v>1781</v>
      </c>
      <c r="H112" s="73">
        <v>1028</v>
      </c>
    </row>
    <row r="113" spans="3:8" x14ac:dyDescent="0.3">
      <c r="C113" s="1"/>
      <c r="D113" s="71" t="s">
        <v>297</v>
      </c>
      <c r="E113" s="71" t="s">
        <v>383</v>
      </c>
      <c r="F113" s="74">
        <v>174</v>
      </c>
      <c r="G113" s="74">
        <v>773</v>
      </c>
      <c r="H113" s="75">
        <v>237</v>
      </c>
    </row>
    <row r="114" spans="3:8" x14ac:dyDescent="0.3">
      <c r="C114" s="1"/>
      <c r="D114" s="71" t="s">
        <v>297</v>
      </c>
      <c r="E114" s="71" t="s">
        <v>384</v>
      </c>
      <c r="F114" s="74">
        <v>94</v>
      </c>
      <c r="G114" s="74">
        <v>769</v>
      </c>
      <c r="H114" s="75">
        <v>228</v>
      </c>
    </row>
    <row r="115" spans="3:8" x14ac:dyDescent="0.3">
      <c r="C115" s="1"/>
      <c r="D115" s="71" t="s">
        <v>297</v>
      </c>
      <c r="E115" s="71" t="s">
        <v>385</v>
      </c>
      <c r="F115" s="74">
        <v>197</v>
      </c>
      <c r="G115" s="74">
        <v>837</v>
      </c>
      <c r="H115" s="75">
        <v>434</v>
      </c>
    </row>
    <row r="116" spans="3:8" x14ac:dyDescent="0.3">
      <c r="C116" s="1"/>
      <c r="D116" s="71" t="s">
        <v>297</v>
      </c>
      <c r="E116" s="71" t="s">
        <v>386</v>
      </c>
      <c r="F116" s="74">
        <v>318</v>
      </c>
      <c r="G116" s="72">
        <v>1120</v>
      </c>
      <c r="H116" s="75">
        <v>444</v>
      </c>
    </row>
    <row r="117" spans="3:8" x14ac:dyDescent="0.3">
      <c r="C117" s="1"/>
      <c r="D117" s="71" t="s">
        <v>297</v>
      </c>
      <c r="E117" s="71" t="s">
        <v>387</v>
      </c>
      <c r="F117" s="74">
        <v>82</v>
      </c>
      <c r="G117" s="74">
        <v>723</v>
      </c>
      <c r="H117" s="75">
        <v>204</v>
      </c>
    </row>
    <row r="118" spans="3:8" x14ac:dyDescent="0.3">
      <c r="C118" s="1"/>
      <c r="D118" s="71" t="s">
        <v>297</v>
      </c>
      <c r="E118" s="71" t="s">
        <v>388</v>
      </c>
      <c r="F118" s="74">
        <v>206</v>
      </c>
      <c r="G118" s="74">
        <v>550</v>
      </c>
      <c r="H118" s="75">
        <v>229</v>
      </c>
    </row>
    <row r="119" spans="3:8" x14ac:dyDescent="0.3">
      <c r="C119" s="1"/>
      <c r="D119" s="71" t="s">
        <v>297</v>
      </c>
      <c r="E119" s="71" t="s">
        <v>389</v>
      </c>
      <c r="F119" s="74">
        <v>390</v>
      </c>
      <c r="G119" s="72">
        <v>1297</v>
      </c>
      <c r="H119" s="75">
        <v>456</v>
      </c>
    </row>
    <row r="120" spans="3:8" x14ac:dyDescent="0.3">
      <c r="C120" s="1"/>
      <c r="D120" s="71" t="s">
        <v>297</v>
      </c>
      <c r="E120" s="71" t="s">
        <v>390</v>
      </c>
      <c r="F120" s="74">
        <v>111</v>
      </c>
      <c r="G120" s="72">
        <v>1160</v>
      </c>
      <c r="H120" s="75">
        <v>282</v>
      </c>
    </row>
    <row r="121" spans="3:8" x14ac:dyDescent="0.3">
      <c r="C121" s="1"/>
      <c r="D121" s="71" t="s">
        <v>297</v>
      </c>
      <c r="E121" s="71" t="s">
        <v>391</v>
      </c>
      <c r="F121" s="74">
        <v>522</v>
      </c>
      <c r="G121" s="72">
        <v>1667</v>
      </c>
      <c r="H121" s="75">
        <v>556</v>
      </c>
    </row>
    <row r="122" spans="3:8" x14ac:dyDescent="0.3">
      <c r="C122" s="1"/>
      <c r="D122" s="71" t="s">
        <v>297</v>
      </c>
      <c r="E122" s="71" t="s">
        <v>392</v>
      </c>
      <c r="F122" s="74">
        <v>278</v>
      </c>
      <c r="G122" s="72">
        <v>1091</v>
      </c>
      <c r="H122" s="75">
        <v>505</v>
      </c>
    </row>
    <row r="123" spans="3:8" x14ac:dyDescent="0.3">
      <c r="C123" s="1"/>
      <c r="D123" s="71" t="s">
        <v>297</v>
      </c>
      <c r="E123" s="71" t="s">
        <v>393</v>
      </c>
      <c r="F123" s="74">
        <v>0</v>
      </c>
      <c r="G123" s="74">
        <v>0</v>
      </c>
      <c r="H123" s="75">
        <v>0</v>
      </c>
    </row>
    <row r="124" spans="3:8" x14ac:dyDescent="0.3">
      <c r="C124" s="1"/>
      <c r="D124" s="71" t="s">
        <v>297</v>
      </c>
      <c r="E124" s="71" t="s">
        <v>394</v>
      </c>
      <c r="F124" s="74">
        <v>120</v>
      </c>
      <c r="G124" s="72">
        <v>1335</v>
      </c>
      <c r="H124" s="75">
        <v>289</v>
      </c>
    </row>
    <row r="125" spans="3:8" x14ac:dyDescent="0.3">
      <c r="C125" s="1"/>
      <c r="D125" s="71" t="s">
        <v>297</v>
      </c>
      <c r="E125" s="71" t="s">
        <v>395</v>
      </c>
      <c r="F125" s="74">
        <v>316</v>
      </c>
      <c r="G125" s="72">
        <v>1028</v>
      </c>
      <c r="H125" s="75">
        <v>505</v>
      </c>
    </row>
    <row r="126" spans="3:8" x14ac:dyDescent="0.3">
      <c r="C126" s="1"/>
      <c r="D126" s="71" t="s">
        <v>297</v>
      </c>
      <c r="E126" s="71" t="s">
        <v>396</v>
      </c>
      <c r="F126" s="74">
        <v>446</v>
      </c>
      <c r="G126" s="72">
        <v>1763</v>
      </c>
      <c r="H126" s="75">
        <v>527</v>
      </c>
    </row>
    <row r="127" spans="3:8" x14ac:dyDescent="0.3">
      <c r="C127" s="1"/>
      <c r="D127" s="71" t="s">
        <v>297</v>
      </c>
      <c r="E127" s="71" t="s">
        <v>397</v>
      </c>
      <c r="F127" s="74">
        <v>0</v>
      </c>
      <c r="G127" s="74">
        <v>0</v>
      </c>
      <c r="H127" s="75">
        <v>0</v>
      </c>
    </row>
    <row r="128" spans="3:8" x14ac:dyDescent="0.3">
      <c r="C128" s="1"/>
      <c r="D128" s="71" t="s">
        <v>297</v>
      </c>
      <c r="E128" s="71" t="s">
        <v>398</v>
      </c>
      <c r="F128" s="74">
        <v>254</v>
      </c>
      <c r="G128" s="74">
        <v>642</v>
      </c>
      <c r="H128" s="75">
        <v>308</v>
      </c>
    </row>
    <row r="129" spans="3:8" x14ac:dyDescent="0.3">
      <c r="C129" s="1"/>
      <c r="D129" s="71" t="s">
        <v>297</v>
      </c>
      <c r="E129" s="71" t="s">
        <v>399</v>
      </c>
      <c r="F129" s="74">
        <v>157</v>
      </c>
      <c r="G129" s="74">
        <v>440</v>
      </c>
      <c r="H129" s="75">
        <v>436</v>
      </c>
    </row>
    <row r="130" spans="3:8" x14ac:dyDescent="0.3">
      <c r="C130" s="1"/>
      <c r="D130" s="71" t="s">
        <v>297</v>
      </c>
      <c r="E130" s="71" t="s">
        <v>400</v>
      </c>
      <c r="F130" s="74">
        <v>788</v>
      </c>
      <c r="G130" s="74">
        <v>988</v>
      </c>
      <c r="H130" s="75">
        <v>673</v>
      </c>
    </row>
    <row r="131" spans="3:8" x14ac:dyDescent="0.3">
      <c r="C131" s="1"/>
      <c r="D131" s="71" t="s">
        <v>297</v>
      </c>
      <c r="E131" s="71" t="s">
        <v>401</v>
      </c>
      <c r="F131" s="74">
        <v>398</v>
      </c>
      <c r="G131" s="74">
        <v>454</v>
      </c>
      <c r="H131" s="75">
        <v>333</v>
      </c>
    </row>
    <row r="132" spans="3:8" x14ac:dyDescent="0.3">
      <c r="C132" s="1"/>
      <c r="D132" s="71" t="s">
        <v>297</v>
      </c>
      <c r="E132" s="71" t="s">
        <v>402</v>
      </c>
      <c r="F132" s="74">
        <v>796</v>
      </c>
      <c r="G132" s="74">
        <v>912</v>
      </c>
      <c r="H132" s="75">
        <v>687</v>
      </c>
    </row>
    <row r="133" spans="3:8" x14ac:dyDescent="0.3">
      <c r="C133" s="1"/>
      <c r="D133" s="71" t="s">
        <v>297</v>
      </c>
      <c r="E133" s="71" t="s">
        <v>403</v>
      </c>
      <c r="F133" s="74">
        <v>633</v>
      </c>
      <c r="G133" s="72">
        <v>1349</v>
      </c>
      <c r="H133" s="75">
        <v>564</v>
      </c>
    </row>
    <row r="134" spans="3:8" x14ac:dyDescent="0.3">
      <c r="C134" s="1"/>
      <c r="D134" s="71" t="s">
        <v>297</v>
      </c>
      <c r="E134" s="71" t="s">
        <v>404</v>
      </c>
      <c r="F134" s="72">
        <v>1018</v>
      </c>
      <c r="G134" s="72">
        <v>1622</v>
      </c>
      <c r="H134" s="75">
        <v>826</v>
      </c>
    </row>
    <row r="135" spans="3:8" x14ac:dyDescent="0.3">
      <c r="C135" s="1"/>
      <c r="D135" s="71" t="s">
        <v>297</v>
      </c>
      <c r="E135" s="71" t="s">
        <v>405</v>
      </c>
      <c r="F135" s="74">
        <v>356</v>
      </c>
      <c r="G135" s="74">
        <v>429</v>
      </c>
      <c r="H135" s="75">
        <v>621</v>
      </c>
    </row>
    <row r="136" spans="3:8" x14ac:dyDescent="0.3">
      <c r="C136" s="1"/>
      <c r="D136" s="71" t="s">
        <v>297</v>
      </c>
      <c r="E136" s="71" t="s">
        <v>406</v>
      </c>
      <c r="F136" s="72">
        <v>1173</v>
      </c>
      <c r="G136" s="72">
        <v>1342</v>
      </c>
      <c r="H136" s="75">
        <v>605</v>
      </c>
    </row>
    <row r="137" spans="3:8" x14ac:dyDescent="0.3">
      <c r="C137" s="1"/>
      <c r="D137" s="71" t="s">
        <v>297</v>
      </c>
      <c r="E137" s="71" t="s">
        <v>407</v>
      </c>
      <c r="F137" s="74">
        <v>729</v>
      </c>
      <c r="G137" s="72">
        <v>1085</v>
      </c>
      <c r="H137" s="75">
        <v>838</v>
      </c>
    </row>
    <row r="138" spans="3:8" x14ac:dyDescent="0.3">
      <c r="C138" s="1"/>
      <c r="D138" s="71" t="s">
        <v>297</v>
      </c>
      <c r="E138" s="71" t="s">
        <v>408</v>
      </c>
      <c r="F138" s="74">
        <v>935</v>
      </c>
      <c r="G138" s="72">
        <v>1436</v>
      </c>
      <c r="H138" s="73">
        <v>1237</v>
      </c>
    </row>
    <row r="139" spans="3:8" x14ac:dyDescent="0.3">
      <c r="C139" s="1"/>
      <c r="D139" s="71" t="s">
        <v>297</v>
      </c>
      <c r="E139" s="71" t="s">
        <v>409</v>
      </c>
      <c r="F139" s="74">
        <v>930</v>
      </c>
      <c r="G139" s="72">
        <v>1328</v>
      </c>
      <c r="H139" s="73">
        <v>1024</v>
      </c>
    </row>
    <row r="140" spans="3:8" x14ac:dyDescent="0.3">
      <c r="C140" s="1"/>
      <c r="D140" s="71" t="s">
        <v>297</v>
      </c>
      <c r="E140" s="71" t="s">
        <v>410</v>
      </c>
      <c r="F140" s="72">
        <v>1207</v>
      </c>
      <c r="G140" s="72">
        <v>1863</v>
      </c>
      <c r="H140" s="73">
        <v>1375</v>
      </c>
    </row>
    <row r="141" spans="3:8" x14ac:dyDescent="0.3">
      <c r="C141" s="1"/>
      <c r="D141" s="71" t="s">
        <v>297</v>
      </c>
      <c r="E141" s="71" t="s">
        <v>411</v>
      </c>
      <c r="F141" s="72">
        <v>1089</v>
      </c>
      <c r="G141" s="72">
        <v>1554</v>
      </c>
      <c r="H141" s="75">
        <v>945</v>
      </c>
    </row>
    <row r="142" spans="3:8" x14ac:dyDescent="0.3">
      <c r="C142" s="1"/>
      <c r="D142" s="71" t="s">
        <v>297</v>
      </c>
      <c r="E142" s="71" t="s">
        <v>412</v>
      </c>
      <c r="F142" s="72">
        <v>1179</v>
      </c>
      <c r="G142" s="72">
        <v>1541</v>
      </c>
      <c r="H142" s="73">
        <v>1136</v>
      </c>
    </row>
    <row r="143" spans="3:8" x14ac:dyDescent="0.3">
      <c r="C143" s="1"/>
      <c r="D143" s="71" t="s">
        <v>297</v>
      </c>
      <c r="E143" s="71" t="s">
        <v>413</v>
      </c>
      <c r="F143" s="74">
        <v>646</v>
      </c>
      <c r="G143" s="72">
        <v>1144</v>
      </c>
      <c r="H143" s="73">
        <v>1027</v>
      </c>
    </row>
    <row r="144" spans="3:8" x14ac:dyDescent="0.3">
      <c r="C144" s="1"/>
      <c r="D144" s="71" t="s">
        <v>297</v>
      </c>
      <c r="E144" s="71" t="s">
        <v>414</v>
      </c>
      <c r="F144" s="74">
        <v>689</v>
      </c>
      <c r="G144" s="72">
        <v>1352</v>
      </c>
      <c r="H144" s="75">
        <v>777</v>
      </c>
    </row>
    <row r="145" spans="3:8" x14ac:dyDescent="0.3">
      <c r="C145" s="1"/>
      <c r="D145" s="71" t="s">
        <v>297</v>
      </c>
      <c r="E145" s="71" t="s">
        <v>415</v>
      </c>
      <c r="F145" s="74">
        <v>92</v>
      </c>
      <c r="G145" s="72">
        <v>1393</v>
      </c>
      <c r="H145" s="75">
        <v>295</v>
      </c>
    </row>
    <row r="146" spans="3:8" x14ac:dyDescent="0.3">
      <c r="C146" s="1"/>
      <c r="D146" s="71" t="s">
        <v>297</v>
      </c>
      <c r="E146" s="71" t="s">
        <v>416</v>
      </c>
      <c r="F146" s="74">
        <v>361</v>
      </c>
      <c r="G146" s="72">
        <v>4109</v>
      </c>
      <c r="H146" s="75">
        <v>761</v>
      </c>
    </row>
    <row r="147" spans="3:8" x14ac:dyDescent="0.3">
      <c r="C147" s="1"/>
      <c r="D147" s="71" t="s">
        <v>297</v>
      </c>
      <c r="E147" s="71" t="s">
        <v>417</v>
      </c>
      <c r="F147" s="74">
        <v>148</v>
      </c>
      <c r="G147" s="72">
        <v>1510</v>
      </c>
      <c r="H147" s="75">
        <v>300</v>
      </c>
    </row>
    <row r="148" spans="3:8" x14ac:dyDescent="0.3">
      <c r="C148" s="1"/>
      <c r="D148" s="71" t="s">
        <v>297</v>
      </c>
      <c r="E148" s="71" t="s">
        <v>418</v>
      </c>
      <c r="F148" s="74">
        <v>367</v>
      </c>
      <c r="G148" s="72">
        <v>1942</v>
      </c>
      <c r="H148" s="75">
        <v>817</v>
      </c>
    </row>
    <row r="149" spans="3:8" x14ac:dyDescent="0.3">
      <c r="C149" s="1"/>
      <c r="D149" s="71" t="s">
        <v>297</v>
      </c>
      <c r="E149" s="71" t="s">
        <v>419</v>
      </c>
      <c r="F149" s="74">
        <v>96</v>
      </c>
      <c r="G149" s="74">
        <v>249</v>
      </c>
      <c r="H149" s="75">
        <v>191</v>
      </c>
    </row>
    <row r="150" spans="3:8" x14ac:dyDescent="0.3">
      <c r="C150" s="1"/>
      <c r="D150" s="71" t="s">
        <v>297</v>
      </c>
      <c r="E150" s="71" t="s">
        <v>420</v>
      </c>
      <c r="F150" s="74">
        <v>104</v>
      </c>
      <c r="G150" s="74">
        <v>281</v>
      </c>
      <c r="H150" s="75">
        <v>241</v>
      </c>
    </row>
    <row r="151" spans="3:8" x14ac:dyDescent="0.3">
      <c r="C151" s="1"/>
      <c r="D151" s="71" t="s">
        <v>297</v>
      </c>
      <c r="E151" s="71" t="s">
        <v>421</v>
      </c>
      <c r="F151" s="74">
        <v>152</v>
      </c>
      <c r="G151" s="74">
        <v>225</v>
      </c>
      <c r="H151" s="75">
        <v>215</v>
      </c>
    </row>
    <row r="152" spans="3:8" x14ac:dyDescent="0.3">
      <c r="C152" s="1"/>
      <c r="D152" s="71" t="s">
        <v>297</v>
      </c>
      <c r="E152" s="71" t="s">
        <v>422</v>
      </c>
      <c r="F152" s="74">
        <v>661</v>
      </c>
      <c r="G152" s="72">
        <v>1509</v>
      </c>
      <c r="H152" s="75">
        <v>818</v>
      </c>
    </row>
    <row r="153" spans="3:8" x14ac:dyDescent="0.3">
      <c r="C153" s="1"/>
      <c r="D153" s="71" t="s">
        <v>297</v>
      </c>
      <c r="E153" s="71" t="s">
        <v>423</v>
      </c>
      <c r="F153" s="74">
        <v>417</v>
      </c>
      <c r="G153" s="74">
        <v>591</v>
      </c>
      <c r="H153" s="75">
        <v>414</v>
      </c>
    </row>
    <row r="154" spans="3:8" x14ac:dyDescent="0.3">
      <c r="C154" s="1"/>
      <c r="D154" s="71" t="s">
        <v>297</v>
      </c>
      <c r="E154" s="71" t="s">
        <v>424</v>
      </c>
      <c r="F154" s="74">
        <v>588</v>
      </c>
      <c r="G154" s="72">
        <v>1036</v>
      </c>
      <c r="H154" s="75">
        <v>725</v>
      </c>
    </row>
    <row r="155" spans="3:8" x14ac:dyDescent="0.3">
      <c r="C155" s="1"/>
      <c r="D155" s="71" t="s">
        <v>297</v>
      </c>
      <c r="E155" s="71" t="s">
        <v>425</v>
      </c>
      <c r="F155" s="74">
        <v>99</v>
      </c>
      <c r="G155" s="74">
        <v>566</v>
      </c>
      <c r="H155" s="75">
        <v>200</v>
      </c>
    </row>
    <row r="156" spans="3:8" x14ac:dyDescent="0.3">
      <c r="C156" s="1"/>
      <c r="D156" s="71" t="s">
        <v>297</v>
      </c>
      <c r="E156" s="71" t="s">
        <v>426</v>
      </c>
      <c r="F156" s="72">
        <v>1113</v>
      </c>
      <c r="G156" s="72">
        <v>1539</v>
      </c>
      <c r="H156" s="73">
        <v>1209</v>
      </c>
    </row>
    <row r="157" spans="3:8" x14ac:dyDescent="0.3">
      <c r="C157" s="1"/>
      <c r="D157" s="71" t="s">
        <v>297</v>
      </c>
      <c r="E157" s="71" t="s">
        <v>427</v>
      </c>
      <c r="F157" s="72">
        <v>1462</v>
      </c>
      <c r="G157" s="72">
        <v>1993</v>
      </c>
      <c r="H157" s="73">
        <v>1444</v>
      </c>
    </row>
    <row r="158" spans="3:8" x14ac:dyDescent="0.3">
      <c r="C158" s="1"/>
      <c r="D158" s="71" t="s">
        <v>297</v>
      </c>
      <c r="E158" s="71" t="s">
        <v>428</v>
      </c>
      <c r="F158" s="72">
        <v>1094</v>
      </c>
      <c r="G158" s="72">
        <v>1924</v>
      </c>
      <c r="H158" s="73">
        <v>1466</v>
      </c>
    </row>
    <row r="159" spans="3:8" x14ac:dyDescent="0.3">
      <c r="C159" s="1"/>
      <c r="D159" s="71" t="s">
        <v>297</v>
      </c>
      <c r="E159" s="71" t="s">
        <v>429</v>
      </c>
      <c r="F159" s="74">
        <v>924</v>
      </c>
      <c r="G159" s="72">
        <v>1799</v>
      </c>
      <c r="H159" s="73">
        <v>1269</v>
      </c>
    </row>
    <row r="160" spans="3:8" x14ac:dyDescent="0.3">
      <c r="C160" s="1"/>
      <c r="D160" s="71" t="s">
        <v>297</v>
      </c>
      <c r="E160" s="71" t="s">
        <v>430</v>
      </c>
      <c r="F160" s="74">
        <v>0</v>
      </c>
      <c r="G160" s="74">
        <v>0</v>
      </c>
      <c r="H160" s="75">
        <v>0</v>
      </c>
    </row>
    <row r="161" spans="3:8" x14ac:dyDescent="0.3">
      <c r="C161" s="1"/>
      <c r="D161" s="71" t="s">
        <v>297</v>
      </c>
      <c r="E161" s="71" t="s">
        <v>431</v>
      </c>
      <c r="F161" s="74">
        <v>296</v>
      </c>
      <c r="G161" s="74">
        <v>443</v>
      </c>
      <c r="H161" s="75">
        <v>157</v>
      </c>
    </row>
    <row r="162" spans="3:8" x14ac:dyDescent="0.3">
      <c r="C162" s="1"/>
      <c r="D162" s="71" t="s">
        <v>297</v>
      </c>
      <c r="E162" s="71" t="s">
        <v>432</v>
      </c>
      <c r="F162" s="74">
        <v>858</v>
      </c>
      <c r="G162" s="72">
        <v>1562</v>
      </c>
      <c r="H162" s="75">
        <v>832</v>
      </c>
    </row>
    <row r="163" spans="3:8" x14ac:dyDescent="0.3">
      <c r="C163" s="1"/>
      <c r="D163" s="71" t="s">
        <v>297</v>
      </c>
      <c r="E163" s="71" t="s">
        <v>433</v>
      </c>
      <c r="F163" s="74">
        <v>487</v>
      </c>
      <c r="G163" s="74">
        <v>821</v>
      </c>
      <c r="H163" s="75">
        <v>556</v>
      </c>
    </row>
    <row r="164" spans="3:8" x14ac:dyDescent="0.3">
      <c r="C164" s="1"/>
      <c r="D164" s="71" t="s">
        <v>297</v>
      </c>
      <c r="E164" s="71" t="s">
        <v>434</v>
      </c>
      <c r="F164" s="74">
        <v>985</v>
      </c>
      <c r="G164" s="72">
        <v>2100</v>
      </c>
      <c r="H164" s="73">
        <v>1402</v>
      </c>
    </row>
    <row r="165" spans="3:8" x14ac:dyDescent="0.3">
      <c r="C165" s="1"/>
      <c r="D165" s="71" t="s">
        <v>297</v>
      </c>
      <c r="E165" s="71" t="s">
        <v>435</v>
      </c>
      <c r="F165" s="74">
        <v>430</v>
      </c>
      <c r="G165" s="74">
        <v>976</v>
      </c>
      <c r="H165" s="75">
        <v>616</v>
      </c>
    </row>
    <row r="166" spans="3:8" x14ac:dyDescent="0.3">
      <c r="C166" s="1"/>
      <c r="D166" s="71" t="s">
        <v>297</v>
      </c>
      <c r="E166" s="71" t="s">
        <v>436</v>
      </c>
      <c r="F166" s="74">
        <v>11</v>
      </c>
      <c r="G166" s="74">
        <v>4</v>
      </c>
      <c r="H166" s="75">
        <v>351</v>
      </c>
    </row>
    <row r="167" spans="3:8" x14ac:dyDescent="0.3">
      <c r="C167" s="1"/>
      <c r="D167" s="71" t="s">
        <v>297</v>
      </c>
      <c r="E167" s="71" t="s">
        <v>437</v>
      </c>
      <c r="F167" s="74">
        <v>370</v>
      </c>
      <c r="G167" s="74">
        <v>480</v>
      </c>
      <c r="H167" s="75">
        <v>398</v>
      </c>
    </row>
    <row r="168" spans="3:8" x14ac:dyDescent="0.3">
      <c r="C168" s="1"/>
      <c r="D168" s="71" t="s">
        <v>297</v>
      </c>
      <c r="E168" s="71" t="s">
        <v>438</v>
      </c>
      <c r="F168" s="74">
        <v>778</v>
      </c>
      <c r="G168" s="72">
        <v>1343</v>
      </c>
      <c r="H168" s="73">
        <v>1071</v>
      </c>
    </row>
    <row r="169" spans="3:8" x14ac:dyDescent="0.3">
      <c r="C169" s="1"/>
      <c r="D169" s="71" t="s">
        <v>297</v>
      </c>
      <c r="E169" s="71" t="s">
        <v>439</v>
      </c>
      <c r="F169" s="74">
        <v>783</v>
      </c>
      <c r="G169" s="72">
        <v>1429</v>
      </c>
      <c r="H169" s="73">
        <v>1018</v>
      </c>
    </row>
    <row r="170" spans="3:8" x14ac:dyDescent="0.3">
      <c r="C170" s="1"/>
      <c r="D170" s="71" t="s">
        <v>297</v>
      </c>
      <c r="E170" s="71" t="s">
        <v>440</v>
      </c>
      <c r="F170" s="72">
        <v>1376</v>
      </c>
      <c r="G170" s="72">
        <v>2314</v>
      </c>
      <c r="H170" s="73">
        <v>1440</v>
      </c>
    </row>
    <row r="171" spans="3:8" x14ac:dyDescent="0.3">
      <c r="C171" s="1"/>
      <c r="D171" s="71" t="s">
        <v>297</v>
      </c>
      <c r="E171" s="71" t="s">
        <v>441</v>
      </c>
      <c r="F171" s="74">
        <v>717</v>
      </c>
      <c r="G171" s="72">
        <v>1732</v>
      </c>
      <c r="H171" s="73">
        <v>1623</v>
      </c>
    </row>
    <row r="172" spans="3:8" x14ac:dyDescent="0.3">
      <c r="C172" s="1"/>
      <c r="D172" s="71" t="s">
        <v>297</v>
      </c>
      <c r="E172" s="71" t="s">
        <v>442</v>
      </c>
      <c r="F172" s="74">
        <v>301</v>
      </c>
      <c r="G172" s="74">
        <v>720</v>
      </c>
      <c r="H172" s="75">
        <v>629</v>
      </c>
    </row>
    <row r="173" spans="3:8" x14ac:dyDescent="0.3">
      <c r="C173" s="1"/>
      <c r="D173" s="71" t="s">
        <v>297</v>
      </c>
      <c r="E173" s="71" t="s">
        <v>443</v>
      </c>
      <c r="F173" s="74">
        <v>179</v>
      </c>
      <c r="G173" s="74">
        <v>303</v>
      </c>
      <c r="H173" s="75">
        <v>258</v>
      </c>
    </row>
    <row r="174" spans="3:8" x14ac:dyDescent="0.3">
      <c r="C174" s="1"/>
      <c r="D174" s="71" t="s">
        <v>297</v>
      </c>
      <c r="E174" s="71" t="s">
        <v>444</v>
      </c>
      <c r="F174" s="74">
        <v>919</v>
      </c>
      <c r="G174" s="72">
        <v>1445</v>
      </c>
      <c r="H174" s="73">
        <v>1250</v>
      </c>
    </row>
    <row r="175" spans="3:8" x14ac:dyDescent="0.3">
      <c r="C175" s="1"/>
      <c r="D175" s="71" t="s">
        <v>297</v>
      </c>
      <c r="E175" s="71" t="s">
        <v>445</v>
      </c>
      <c r="F175" s="74">
        <v>396</v>
      </c>
      <c r="G175" s="74">
        <v>704</v>
      </c>
      <c r="H175" s="75">
        <v>712</v>
      </c>
    </row>
    <row r="176" spans="3:8" x14ac:dyDescent="0.3">
      <c r="C176" s="1"/>
      <c r="D176" s="71" t="s">
        <v>297</v>
      </c>
      <c r="E176" s="71" t="s">
        <v>446</v>
      </c>
      <c r="F176" s="74">
        <v>387</v>
      </c>
      <c r="G176" s="74">
        <v>735</v>
      </c>
      <c r="H176" s="75">
        <v>677</v>
      </c>
    </row>
    <row r="177" spans="3:8" x14ac:dyDescent="0.3">
      <c r="C177" s="1"/>
      <c r="D177" s="71" t="s">
        <v>297</v>
      </c>
      <c r="E177" s="71" t="s">
        <v>447</v>
      </c>
      <c r="F177" s="74">
        <v>869</v>
      </c>
      <c r="G177" s="72">
        <v>1267</v>
      </c>
      <c r="H177" s="75">
        <v>801</v>
      </c>
    </row>
    <row r="178" spans="3:8" x14ac:dyDescent="0.3">
      <c r="C178" s="1"/>
      <c r="D178" s="71" t="s">
        <v>297</v>
      </c>
      <c r="E178" s="71" t="s">
        <v>448</v>
      </c>
      <c r="F178" s="72">
        <v>1500</v>
      </c>
      <c r="G178" s="72">
        <v>2104</v>
      </c>
      <c r="H178" s="73">
        <v>1570</v>
      </c>
    </row>
    <row r="179" spans="3:8" x14ac:dyDescent="0.3">
      <c r="C179" s="1"/>
      <c r="D179" s="71" t="s">
        <v>297</v>
      </c>
      <c r="E179" s="71" t="s">
        <v>449</v>
      </c>
      <c r="F179" s="72">
        <v>1064</v>
      </c>
      <c r="G179" s="72">
        <v>1509</v>
      </c>
      <c r="H179" s="73">
        <v>1126</v>
      </c>
    </row>
    <row r="180" spans="3:8" x14ac:dyDescent="0.3">
      <c r="C180" s="1"/>
      <c r="D180" s="71" t="s">
        <v>297</v>
      </c>
      <c r="E180" s="71" t="s">
        <v>450</v>
      </c>
      <c r="F180" s="72">
        <v>1272</v>
      </c>
      <c r="G180" s="72">
        <v>2058</v>
      </c>
      <c r="H180" s="73">
        <v>1702</v>
      </c>
    </row>
    <row r="181" spans="3:8" x14ac:dyDescent="0.3">
      <c r="C181" s="1"/>
      <c r="D181" s="71" t="s">
        <v>297</v>
      </c>
      <c r="E181" s="71" t="s">
        <v>451</v>
      </c>
      <c r="F181" s="74">
        <v>916</v>
      </c>
      <c r="G181" s="72">
        <v>1326</v>
      </c>
      <c r="H181" s="75">
        <v>840</v>
      </c>
    </row>
    <row r="182" spans="3:8" x14ac:dyDescent="0.3">
      <c r="C182" s="1"/>
      <c r="D182" s="71" t="s">
        <v>297</v>
      </c>
      <c r="E182" s="71" t="s">
        <v>452</v>
      </c>
      <c r="F182" s="74">
        <v>877</v>
      </c>
      <c r="G182" s="72">
        <v>1498</v>
      </c>
      <c r="H182" s="73">
        <v>1274</v>
      </c>
    </row>
    <row r="183" spans="3:8" x14ac:dyDescent="0.3">
      <c r="C183" s="1"/>
      <c r="D183" s="71" t="s">
        <v>297</v>
      </c>
      <c r="E183" s="71" t="s">
        <v>453</v>
      </c>
      <c r="F183" s="74">
        <v>716</v>
      </c>
      <c r="G183" s="72">
        <v>1119</v>
      </c>
      <c r="H183" s="75">
        <v>837</v>
      </c>
    </row>
    <row r="184" spans="3:8" x14ac:dyDescent="0.3">
      <c r="C184" s="1"/>
      <c r="D184" s="71" t="s">
        <v>297</v>
      </c>
      <c r="E184" s="71" t="s">
        <v>454</v>
      </c>
      <c r="F184" s="74">
        <v>772</v>
      </c>
      <c r="G184" s="72">
        <v>1410</v>
      </c>
      <c r="H184" s="73">
        <v>1199</v>
      </c>
    </row>
    <row r="185" spans="3:8" x14ac:dyDescent="0.3">
      <c r="C185" s="1"/>
      <c r="D185" s="71" t="s">
        <v>297</v>
      </c>
      <c r="E185" s="71" t="s">
        <v>455</v>
      </c>
      <c r="F185" s="72">
        <v>1190</v>
      </c>
      <c r="G185" s="72">
        <v>1969</v>
      </c>
      <c r="H185" s="73">
        <v>1597</v>
      </c>
    </row>
  </sheetData>
  <mergeCells count="13">
    <mergeCell ref="C26:D26"/>
    <mergeCell ref="F26:H26"/>
    <mergeCell ref="C5:D5"/>
    <mergeCell ref="C8:D8"/>
    <mergeCell ref="C11:D11"/>
    <mergeCell ref="C14:D14"/>
    <mergeCell ref="C16:D16"/>
    <mergeCell ref="C17:D17"/>
    <mergeCell ref="C1:J1"/>
    <mergeCell ref="C19:D19"/>
    <mergeCell ref="C20:D20"/>
    <mergeCell ref="C24:D24"/>
    <mergeCell ref="C25:D2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BE83-0620-4389-81BD-DB3024924A95}">
  <dimension ref="C1:J21"/>
  <sheetViews>
    <sheetView topLeftCell="J1" workbookViewId="0">
      <selection activeCell="J22" sqref="J22"/>
    </sheetView>
  </sheetViews>
  <sheetFormatPr defaultRowHeight="14.4" x14ac:dyDescent="0.3"/>
  <cols>
    <col min="6" max="6" width="12.21875" bestFit="1" customWidth="1"/>
    <col min="7" max="7" width="15.77734375" bestFit="1" customWidth="1"/>
    <col min="9" max="9" width="13.109375" customWidth="1"/>
  </cols>
  <sheetData>
    <row r="1" spans="3:10" x14ac:dyDescent="0.3">
      <c r="C1" s="7"/>
      <c r="D1" s="48" t="s">
        <v>456</v>
      </c>
      <c r="E1" s="48" t="s">
        <v>457</v>
      </c>
      <c r="F1" s="48" t="s">
        <v>458</v>
      </c>
      <c r="G1" s="48" t="s">
        <v>459</v>
      </c>
      <c r="H1" s="7"/>
      <c r="I1" s="7"/>
      <c r="J1" s="7"/>
    </row>
    <row r="2" spans="3:10" x14ac:dyDescent="0.3">
      <c r="C2" s="7"/>
      <c r="D2" s="62">
        <v>1</v>
      </c>
      <c r="E2" s="50">
        <v>8000</v>
      </c>
      <c r="F2" s="62" t="s">
        <v>460</v>
      </c>
      <c r="G2" s="62">
        <v>10</v>
      </c>
      <c r="H2" s="7"/>
      <c r="I2" s="7"/>
      <c r="J2" s="7"/>
    </row>
    <row r="3" spans="3:10" x14ac:dyDescent="0.3">
      <c r="C3" s="7"/>
      <c r="D3" s="62">
        <v>2</v>
      </c>
      <c r="E3" s="50">
        <v>11000</v>
      </c>
      <c r="F3" s="62" t="s">
        <v>460</v>
      </c>
      <c r="G3" s="62">
        <v>9</v>
      </c>
      <c r="H3" s="7"/>
      <c r="I3" s="7"/>
      <c r="J3" s="7"/>
    </row>
    <row r="4" spans="3:10" x14ac:dyDescent="0.3">
      <c r="C4" s="7"/>
      <c r="D4" s="62">
        <v>3</v>
      </c>
      <c r="E4" s="50">
        <v>6000</v>
      </c>
      <c r="F4" s="62" t="s">
        <v>461</v>
      </c>
      <c r="G4" s="62">
        <v>5</v>
      </c>
      <c r="H4" s="7"/>
      <c r="I4" s="7"/>
      <c r="J4" s="7"/>
    </row>
    <row r="5" spans="3:10" x14ac:dyDescent="0.3">
      <c r="C5" s="7"/>
      <c r="D5" s="62">
        <v>4</v>
      </c>
      <c r="E5" s="50">
        <v>15000</v>
      </c>
      <c r="F5" s="62" t="s">
        <v>460</v>
      </c>
      <c r="G5" s="62">
        <v>10</v>
      </c>
      <c r="H5" s="7"/>
      <c r="I5" s="7"/>
      <c r="J5" s="7"/>
    </row>
    <row r="6" spans="3:10" x14ac:dyDescent="0.3">
      <c r="C6" s="7"/>
      <c r="D6" s="62">
        <v>5</v>
      </c>
      <c r="E6" s="50">
        <v>10000</v>
      </c>
      <c r="F6" s="62" t="s">
        <v>461</v>
      </c>
      <c r="G6" s="62">
        <v>2</v>
      </c>
      <c r="H6" s="7"/>
      <c r="I6" s="7"/>
      <c r="J6" s="7"/>
    </row>
    <row r="7" spans="3:10" x14ac:dyDescent="0.3">
      <c r="C7" s="7"/>
      <c r="D7" s="62">
        <v>6</v>
      </c>
      <c r="E7" s="50">
        <v>15000</v>
      </c>
      <c r="F7" s="62" t="s">
        <v>460</v>
      </c>
      <c r="G7" s="62">
        <v>5</v>
      </c>
      <c r="H7" s="7"/>
      <c r="I7" s="7"/>
      <c r="J7" s="7"/>
    </row>
    <row r="8" spans="3:10" x14ac:dyDescent="0.3">
      <c r="C8" s="7"/>
      <c r="D8" s="62">
        <v>7</v>
      </c>
      <c r="E8" s="50">
        <v>13000</v>
      </c>
      <c r="F8" s="62" t="s">
        <v>460</v>
      </c>
      <c r="G8" s="62">
        <v>999</v>
      </c>
      <c r="H8" s="7"/>
      <c r="I8" s="7"/>
      <c r="J8" s="7"/>
    </row>
    <row r="9" spans="3:10" x14ac:dyDescent="0.3">
      <c r="C9" s="7"/>
      <c r="D9" s="62">
        <v>8</v>
      </c>
      <c r="E9" s="50">
        <v>8000</v>
      </c>
      <c r="F9" s="62" t="s">
        <v>460</v>
      </c>
      <c r="G9" s="62">
        <v>2</v>
      </c>
      <c r="H9" s="7"/>
      <c r="I9" s="7"/>
      <c r="J9" s="7"/>
    </row>
    <row r="10" spans="3:10" x14ac:dyDescent="0.3">
      <c r="C10" s="7"/>
      <c r="D10" s="62">
        <v>9</v>
      </c>
      <c r="E10" s="50">
        <v>11000</v>
      </c>
      <c r="F10" s="62" t="s">
        <v>461</v>
      </c>
      <c r="G10" s="62">
        <v>5</v>
      </c>
      <c r="H10" s="7"/>
      <c r="I10" s="7"/>
      <c r="J10" s="7"/>
    </row>
    <row r="11" spans="3:10" x14ac:dyDescent="0.3">
      <c r="C11" s="7"/>
      <c r="D11" s="62">
        <v>10</v>
      </c>
      <c r="E11" s="50">
        <v>9000</v>
      </c>
      <c r="F11" s="62" t="s">
        <v>460</v>
      </c>
      <c r="G11" s="62">
        <v>6</v>
      </c>
      <c r="H11" s="7"/>
      <c r="I11" s="7"/>
      <c r="J11" s="7"/>
    </row>
    <row r="12" spans="3:10" x14ac:dyDescent="0.3">
      <c r="C12" s="106"/>
      <c r="D12" s="106"/>
      <c r="E12" s="7"/>
      <c r="F12" s="7"/>
      <c r="G12" s="7"/>
      <c r="H12" s="7"/>
      <c r="I12" s="7"/>
      <c r="J12" s="7"/>
    </row>
    <row r="13" spans="3:10" x14ac:dyDescent="0.3">
      <c r="C13" s="106"/>
      <c r="D13" s="106"/>
      <c r="E13" s="7"/>
      <c r="F13" s="7"/>
      <c r="G13" s="7"/>
      <c r="H13" s="7"/>
      <c r="I13" s="7"/>
      <c r="J13" s="7"/>
    </row>
    <row r="14" spans="3:10" ht="15" thickBot="1" x14ac:dyDescent="0.35">
      <c r="C14" s="7"/>
      <c r="D14" s="6" t="s">
        <v>462</v>
      </c>
      <c r="E14" s="7"/>
      <c r="F14" s="7"/>
      <c r="G14" s="7"/>
      <c r="H14" s="7"/>
      <c r="I14" s="7"/>
      <c r="J14" s="7"/>
    </row>
    <row r="15" spans="3:10" ht="15" thickBot="1" x14ac:dyDescent="0.35">
      <c r="C15" s="7">
        <v>1</v>
      </c>
      <c r="D15" s="7" t="s">
        <v>463</v>
      </c>
      <c r="E15" s="7"/>
      <c r="F15" s="7"/>
      <c r="G15" s="7"/>
      <c r="H15" s="7"/>
      <c r="I15" s="7"/>
      <c r="J15" s="80">
        <f>SUMIF(F2:F11,F2,G2:G11)</f>
        <v>1041</v>
      </c>
    </row>
    <row r="16" spans="3:10" ht="15" thickBot="1" x14ac:dyDescent="0.35">
      <c r="C16" s="7">
        <v>2</v>
      </c>
      <c r="D16" s="7" t="s">
        <v>464</v>
      </c>
      <c r="E16" s="7"/>
      <c r="F16" s="7"/>
      <c r="G16" s="7"/>
      <c r="H16" s="7"/>
      <c r="I16" s="7"/>
      <c r="J16" s="80">
        <f>SUMIF(F2:F11,F4,G2:G11)</f>
        <v>12</v>
      </c>
    </row>
    <row r="17" spans="3:10" ht="15" thickBot="1" x14ac:dyDescent="0.35">
      <c r="C17" s="106"/>
      <c r="D17" s="106"/>
      <c r="E17" s="7"/>
      <c r="F17" s="7"/>
      <c r="G17" s="7"/>
      <c r="H17" s="7"/>
      <c r="I17" s="7"/>
      <c r="J17" s="7"/>
    </row>
    <row r="18" spans="3:10" ht="15" thickBot="1" x14ac:dyDescent="0.35">
      <c r="C18" s="7">
        <v>3</v>
      </c>
      <c r="D18" s="7" t="s">
        <v>465</v>
      </c>
      <c r="E18" s="7"/>
      <c r="F18" s="7"/>
      <c r="G18" s="7"/>
      <c r="H18" s="7"/>
      <c r="I18" s="7"/>
      <c r="J18" s="80">
        <f>SUMIF(E2:E11,"&gt;10000",G2:G11)</f>
        <v>1028</v>
      </c>
    </row>
    <row r="19" spans="3:10" ht="15" thickBot="1" x14ac:dyDescent="0.35">
      <c r="C19" s="106"/>
      <c r="D19" s="106"/>
      <c r="E19" s="7"/>
      <c r="F19" s="7"/>
      <c r="G19" s="7"/>
      <c r="H19" s="7"/>
      <c r="I19" s="7"/>
      <c r="J19" s="7"/>
    </row>
    <row r="20" spans="3:10" ht="15" thickBot="1" x14ac:dyDescent="0.35">
      <c r="C20" s="7">
        <v>4</v>
      </c>
      <c r="D20" s="7" t="s">
        <v>466</v>
      </c>
      <c r="E20" s="7"/>
      <c r="F20" s="7"/>
      <c r="G20" s="7"/>
      <c r="H20" s="7"/>
      <c r="I20" s="7"/>
      <c r="J20" s="80">
        <f>SUMIF(E2:E11,"&gt;10000",E2:E11)</f>
        <v>65000</v>
      </c>
    </row>
    <row r="21" spans="3:10" ht="15" thickBot="1" x14ac:dyDescent="0.35">
      <c r="C21" s="7">
        <v>5</v>
      </c>
      <c r="D21" s="7" t="s">
        <v>467</v>
      </c>
      <c r="E21" s="7"/>
      <c r="F21" s="7"/>
      <c r="G21" s="7"/>
      <c r="H21" s="7"/>
      <c r="I21" s="7"/>
      <c r="J21" s="80">
        <f>SUMIF(E2:E11,"&lt;9500",E2:E11)</f>
        <v>31000</v>
      </c>
    </row>
  </sheetData>
  <mergeCells count="4">
    <mergeCell ref="C12:D12"/>
    <mergeCell ref="C13:D13"/>
    <mergeCell ref="C17:D17"/>
    <mergeCell ref="C19:D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E8E2-DE19-4B7F-93DD-3305E4BB3005}">
  <dimension ref="C3:I29"/>
  <sheetViews>
    <sheetView topLeftCell="A4" workbookViewId="0">
      <selection activeCell="G16" sqref="G16"/>
    </sheetView>
  </sheetViews>
  <sheetFormatPr defaultRowHeight="14.4" x14ac:dyDescent="0.3"/>
  <cols>
    <col min="4" max="4" width="59.77734375" bestFit="1" customWidth="1"/>
    <col min="5" max="5" width="11.88671875" bestFit="1" customWidth="1"/>
  </cols>
  <sheetData>
    <row r="3" spans="3:9" x14ac:dyDescent="0.3">
      <c r="C3" s="81"/>
      <c r="D3" s="82" t="s">
        <v>468</v>
      </c>
      <c r="E3" s="81"/>
      <c r="F3" s="81"/>
      <c r="G3" s="81"/>
      <c r="H3" s="81"/>
      <c r="I3" s="81"/>
    </row>
    <row r="4" spans="3:9" x14ac:dyDescent="0.3">
      <c r="C4" s="81"/>
      <c r="D4" s="83" t="s">
        <v>1</v>
      </c>
      <c r="E4" s="83" t="s">
        <v>469</v>
      </c>
      <c r="F4" s="83" t="s">
        <v>470</v>
      </c>
      <c r="G4" s="83" t="s">
        <v>471</v>
      </c>
      <c r="H4" s="81"/>
      <c r="I4" s="81"/>
    </row>
    <row r="5" spans="3:9" x14ac:dyDescent="0.3">
      <c r="C5" s="81"/>
      <c r="D5" s="84" t="s">
        <v>472</v>
      </c>
      <c r="E5" s="84" t="s">
        <v>473</v>
      </c>
      <c r="F5" s="84" t="s">
        <v>474</v>
      </c>
      <c r="G5" s="84">
        <v>28</v>
      </c>
      <c r="H5" s="81"/>
      <c r="I5" s="81"/>
    </row>
    <row r="6" spans="3:9" x14ac:dyDescent="0.3">
      <c r="C6" s="81"/>
      <c r="D6" s="84" t="s">
        <v>475</v>
      </c>
      <c r="E6" s="84" t="s">
        <v>476</v>
      </c>
      <c r="F6" s="84" t="s">
        <v>477</v>
      </c>
      <c r="G6" s="84">
        <v>8</v>
      </c>
      <c r="H6" s="81"/>
      <c r="I6" s="81"/>
    </row>
    <row r="7" spans="3:9" x14ac:dyDescent="0.3">
      <c r="C7" s="81"/>
      <c r="D7" s="84" t="s">
        <v>478</v>
      </c>
      <c r="E7" s="84" t="s">
        <v>479</v>
      </c>
      <c r="F7" s="84" t="s">
        <v>474</v>
      </c>
      <c r="G7" s="84">
        <v>19</v>
      </c>
      <c r="H7" s="81"/>
      <c r="I7" s="81"/>
    </row>
    <row r="8" spans="3:9" x14ac:dyDescent="0.3">
      <c r="C8" s="81"/>
      <c r="D8" s="84" t="s">
        <v>480</v>
      </c>
      <c r="E8" s="84" t="s">
        <v>481</v>
      </c>
      <c r="F8" s="84" t="s">
        <v>482</v>
      </c>
      <c r="G8" s="84">
        <v>2</v>
      </c>
      <c r="H8" s="81"/>
      <c r="I8" s="81"/>
    </row>
    <row r="9" spans="3:9" x14ac:dyDescent="0.3">
      <c r="C9" s="81"/>
      <c r="D9" s="84" t="s">
        <v>483</v>
      </c>
      <c r="E9" s="84" t="s">
        <v>479</v>
      </c>
      <c r="F9" s="84" t="s">
        <v>484</v>
      </c>
      <c r="G9" s="84">
        <v>5</v>
      </c>
      <c r="H9" s="81"/>
      <c r="I9" s="81"/>
    </row>
    <row r="10" spans="3:9" x14ac:dyDescent="0.3">
      <c r="C10" s="81"/>
      <c r="D10" s="84" t="s">
        <v>485</v>
      </c>
      <c r="E10" s="84" t="s">
        <v>476</v>
      </c>
      <c r="F10" s="84" t="s">
        <v>474</v>
      </c>
      <c r="G10" s="84">
        <v>9</v>
      </c>
      <c r="H10" s="81"/>
      <c r="I10" s="81"/>
    </row>
    <row r="11" spans="3:9" x14ac:dyDescent="0.3">
      <c r="C11" s="81"/>
      <c r="D11" s="84" t="s">
        <v>486</v>
      </c>
      <c r="E11" s="84" t="s">
        <v>479</v>
      </c>
      <c r="F11" s="84" t="s">
        <v>487</v>
      </c>
      <c r="G11" s="84">
        <v>18</v>
      </c>
      <c r="H11" s="81"/>
      <c r="I11" s="81"/>
    </row>
    <row r="12" spans="3:9" x14ac:dyDescent="0.3">
      <c r="C12" s="81"/>
      <c r="D12" s="84" t="s">
        <v>488</v>
      </c>
      <c r="E12" s="84" t="s">
        <v>473</v>
      </c>
      <c r="F12" s="84" t="s">
        <v>474</v>
      </c>
      <c r="G12" s="84">
        <v>11</v>
      </c>
      <c r="H12" s="81"/>
      <c r="I12" s="81"/>
    </row>
    <row r="13" spans="3:9" x14ac:dyDescent="0.3">
      <c r="C13" s="81"/>
      <c r="D13" s="84" t="s">
        <v>489</v>
      </c>
      <c r="E13" s="84" t="s">
        <v>481</v>
      </c>
      <c r="F13" s="84" t="s">
        <v>490</v>
      </c>
      <c r="G13" s="84">
        <v>3</v>
      </c>
      <c r="H13" s="81"/>
      <c r="I13" s="81"/>
    </row>
    <row r="14" spans="3:9" x14ac:dyDescent="0.3">
      <c r="C14" s="81"/>
      <c r="D14" s="84" t="s">
        <v>491</v>
      </c>
      <c r="E14" s="84" t="s">
        <v>476</v>
      </c>
      <c r="F14" s="84" t="s">
        <v>492</v>
      </c>
      <c r="G14" s="84">
        <v>15</v>
      </c>
      <c r="H14" s="81"/>
      <c r="I14" s="81"/>
    </row>
    <row r="15" spans="3:9" x14ac:dyDescent="0.3">
      <c r="C15" s="117"/>
      <c r="D15" s="117"/>
      <c r="E15" s="81"/>
      <c r="F15" s="81"/>
      <c r="G15" s="81"/>
      <c r="H15" s="81"/>
      <c r="I15" s="81"/>
    </row>
    <row r="16" spans="3:9" x14ac:dyDescent="0.3">
      <c r="C16" s="81"/>
      <c r="D16" s="85" t="s">
        <v>493</v>
      </c>
      <c r="E16" s="81"/>
      <c r="F16" s="81"/>
      <c r="G16" s="86" t="s">
        <v>494</v>
      </c>
      <c r="H16" s="81"/>
      <c r="I16" s="81"/>
    </row>
    <row r="17" spans="3:9" x14ac:dyDescent="0.3">
      <c r="C17" s="117"/>
      <c r="D17" s="117"/>
      <c r="E17" s="81"/>
      <c r="F17" s="81"/>
      <c r="G17" s="81"/>
      <c r="H17" s="81"/>
      <c r="I17" s="81"/>
    </row>
    <row r="18" spans="3:9" x14ac:dyDescent="0.3">
      <c r="C18" s="81">
        <v>1</v>
      </c>
      <c r="D18" s="87" t="s">
        <v>495</v>
      </c>
      <c r="E18" s="81"/>
      <c r="F18" s="81"/>
      <c r="G18" s="81"/>
      <c r="H18" s="81"/>
      <c r="I18" s="81"/>
    </row>
    <row r="19" spans="3:9" x14ac:dyDescent="0.3">
      <c r="C19" s="117"/>
      <c r="D19" s="117"/>
      <c r="E19" s="88" t="s">
        <v>496</v>
      </c>
      <c r="F19" s="88"/>
      <c r="G19" s="81"/>
      <c r="H19" s="81"/>
      <c r="I19" s="81"/>
    </row>
    <row r="20" spans="3:9" x14ac:dyDescent="0.3">
      <c r="C20" s="81"/>
      <c r="D20" s="89" t="s">
        <v>118</v>
      </c>
      <c r="E20" s="90">
        <f>SUMIF(F5:F14,"USA",G5:G14)</f>
        <v>67</v>
      </c>
      <c r="F20" s="81"/>
      <c r="G20" s="81"/>
      <c r="H20" s="81"/>
      <c r="I20" s="81"/>
    </row>
    <row r="21" spans="3:9" x14ac:dyDescent="0.3">
      <c r="C21" s="117"/>
      <c r="D21" s="117"/>
      <c r="E21" s="81"/>
      <c r="F21" s="81"/>
      <c r="G21" s="81"/>
      <c r="H21" s="81"/>
      <c r="I21" s="81"/>
    </row>
    <row r="22" spans="3:9" x14ac:dyDescent="0.3">
      <c r="C22" s="81">
        <v>2</v>
      </c>
      <c r="D22" s="87" t="s">
        <v>497</v>
      </c>
      <c r="E22" s="81"/>
      <c r="F22" s="81"/>
      <c r="G22" s="81"/>
      <c r="H22" s="81"/>
      <c r="I22" s="81"/>
    </row>
    <row r="23" spans="3:9" x14ac:dyDescent="0.3">
      <c r="C23" s="117"/>
      <c r="D23" s="117"/>
      <c r="E23" s="88" t="s">
        <v>496</v>
      </c>
      <c r="F23" s="88"/>
      <c r="G23" s="81"/>
      <c r="H23" s="81"/>
      <c r="I23" s="81"/>
    </row>
    <row r="24" spans="3:9" x14ac:dyDescent="0.3">
      <c r="C24" s="81"/>
      <c r="D24" s="89" t="s">
        <v>118</v>
      </c>
      <c r="E24" s="90">
        <f>SUMIF(E5:E14,"Figure Skating",G5:G14)</f>
        <v>5</v>
      </c>
      <c r="F24" s="81"/>
      <c r="G24" s="81"/>
      <c r="H24" s="81"/>
      <c r="I24" s="81"/>
    </row>
    <row r="25" spans="3:9" x14ac:dyDescent="0.3">
      <c r="C25" s="117"/>
      <c r="D25" s="117"/>
      <c r="E25" s="81"/>
      <c r="F25" s="81"/>
      <c r="G25" s="81"/>
      <c r="H25" s="81"/>
      <c r="I25" s="81"/>
    </row>
    <row r="26" spans="3:9" x14ac:dyDescent="0.3">
      <c r="C26" s="81">
        <v>2</v>
      </c>
      <c r="D26" s="87" t="s">
        <v>498</v>
      </c>
      <c r="E26" s="81"/>
      <c r="F26" s="81"/>
      <c r="G26" s="81"/>
      <c r="H26" s="81"/>
      <c r="I26" s="81"/>
    </row>
    <row r="27" spans="3:9" x14ac:dyDescent="0.3">
      <c r="C27" s="117"/>
      <c r="D27" s="117"/>
      <c r="E27" s="88" t="s">
        <v>496</v>
      </c>
      <c r="F27" s="88"/>
      <c r="G27" s="81"/>
      <c r="H27" s="81"/>
      <c r="I27" s="81"/>
    </row>
    <row r="28" spans="3:9" x14ac:dyDescent="0.3">
      <c r="C28" s="81"/>
      <c r="D28" s="89" t="s">
        <v>118</v>
      </c>
      <c r="E28" s="90" cm="1">
        <f t="array" ref="E28">SUM(SUMIF(F5:F14,{"USA","Jamaica"},G5:G14))</f>
        <v>75</v>
      </c>
      <c r="F28" s="81"/>
      <c r="G28" s="81"/>
      <c r="H28" s="81"/>
      <c r="I28" s="81"/>
    </row>
    <row r="29" spans="3:9" x14ac:dyDescent="0.3">
      <c r="C29" s="117"/>
      <c r="D29" s="117"/>
      <c r="E29" s="81"/>
      <c r="F29" s="81"/>
      <c r="G29" s="81"/>
      <c r="H29" s="81"/>
      <c r="I29" s="81"/>
    </row>
  </sheetData>
  <mergeCells count="8">
    <mergeCell ref="C27:D27"/>
    <mergeCell ref="C29:D29"/>
    <mergeCell ref="C15:D15"/>
    <mergeCell ref="C17:D17"/>
    <mergeCell ref="C19:D19"/>
    <mergeCell ref="C21:D21"/>
    <mergeCell ref="C23:D23"/>
    <mergeCell ref="C25:D25"/>
  </mergeCells>
  <hyperlinks>
    <hyperlink ref="G16" location="'SUMIF2  Answers'!A1" display="'SUMIF2  Answers'!A1" xr:uid="{B9090DF9-7AD4-4361-AEAA-CAFD2806DA1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A0031-9A24-499E-B6F0-21DE6CA2C694}">
  <dimension ref="C1:J30"/>
  <sheetViews>
    <sheetView workbookViewId="0">
      <selection activeCell="G17" sqref="G17"/>
    </sheetView>
  </sheetViews>
  <sheetFormatPr defaultRowHeight="14.4" x14ac:dyDescent="0.3"/>
  <cols>
    <col min="3" max="3" width="12.6640625" customWidth="1"/>
    <col min="4" max="4" width="13.33203125" bestFit="1" customWidth="1"/>
    <col min="9" max="9" width="22.44140625" bestFit="1" customWidth="1"/>
  </cols>
  <sheetData>
    <row r="1" spans="3:10" ht="43.2" customHeight="1" x14ac:dyDescent="0.3">
      <c r="C1" s="118" t="s">
        <v>499</v>
      </c>
      <c r="D1" s="118"/>
      <c r="E1" s="118"/>
      <c r="F1" s="118"/>
      <c r="G1" s="118"/>
      <c r="H1" s="118"/>
      <c r="I1" s="118"/>
    </row>
    <row r="4" spans="3:10" x14ac:dyDescent="0.3">
      <c r="C4" s="7" t="s">
        <v>500</v>
      </c>
      <c r="D4" s="7"/>
      <c r="E4" s="7"/>
      <c r="F4" s="7"/>
      <c r="G4" s="7"/>
      <c r="H4" s="7"/>
      <c r="I4" s="7"/>
      <c r="J4" s="7"/>
    </row>
    <row r="5" spans="3:10" x14ac:dyDescent="0.3">
      <c r="C5" s="7" t="s">
        <v>501</v>
      </c>
      <c r="D5" s="7"/>
      <c r="E5" s="7"/>
      <c r="F5" s="7"/>
      <c r="G5" s="7"/>
      <c r="H5" s="7"/>
      <c r="I5" s="7"/>
      <c r="J5" s="7"/>
    </row>
    <row r="6" spans="3:10" x14ac:dyDescent="0.3">
      <c r="C6" s="7"/>
      <c r="D6" s="7"/>
      <c r="E6" s="7"/>
      <c r="F6" s="7"/>
      <c r="G6" s="7"/>
      <c r="H6" s="7"/>
      <c r="I6" s="7"/>
      <c r="J6" s="7"/>
    </row>
    <row r="7" spans="3:10" x14ac:dyDescent="0.3">
      <c r="C7" s="7"/>
      <c r="D7" s="7"/>
      <c r="E7" s="7"/>
      <c r="F7" s="7"/>
      <c r="G7" s="7"/>
      <c r="H7" s="7"/>
      <c r="I7" s="6" t="s">
        <v>502</v>
      </c>
      <c r="J7" s="7"/>
    </row>
    <row r="8" spans="3:10" x14ac:dyDescent="0.3">
      <c r="C8" s="7"/>
      <c r="D8" s="7"/>
      <c r="E8" s="7"/>
      <c r="F8" s="7"/>
      <c r="G8" s="7"/>
      <c r="H8" s="7"/>
      <c r="I8" s="7"/>
      <c r="J8" s="7"/>
    </row>
    <row r="9" spans="3:10" ht="28.8" x14ac:dyDescent="0.3">
      <c r="C9" s="7"/>
      <c r="D9" s="7"/>
      <c r="E9" s="7"/>
      <c r="F9" s="7"/>
      <c r="G9" s="7"/>
      <c r="H9" s="7"/>
      <c r="I9" s="91" t="s">
        <v>281</v>
      </c>
      <c r="J9" s="91" t="s">
        <v>503</v>
      </c>
    </row>
    <row r="10" spans="3:10" x14ac:dyDescent="0.3">
      <c r="C10" s="6" t="s">
        <v>281</v>
      </c>
      <c r="D10" s="6" t="s">
        <v>503</v>
      </c>
      <c r="E10" s="7"/>
      <c r="F10" s="7"/>
      <c r="G10" s="7"/>
      <c r="H10" s="7"/>
      <c r="I10" s="92">
        <v>44197</v>
      </c>
      <c r="J10" s="93" t="s">
        <v>504</v>
      </c>
    </row>
    <row r="11" spans="3:10" x14ac:dyDescent="0.3">
      <c r="C11" s="94">
        <v>44201</v>
      </c>
      <c r="D11" s="95" t="str">
        <f>VLOOKUP(C11,$I$10:$J$30,2,TRUE)</f>
        <v xml:space="preserve">$1.3624 </v>
      </c>
      <c r="E11" s="7"/>
      <c r="F11" s="7"/>
      <c r="G11" s="7"/>
      <c r="H11" s="7"/>
      <c r="I11" s="92">
        <v>44200</v>
      </c>
      <c r="J11" s="93" t="s">
        <v>505</v>
      </c>
    </row>
    <row r="12" spans="3:10" x14ac:dyDescent="0.3">
      <c r="C12" s="94">
        <v>44211</v>
      </c>
      <c r="D12" s="95" t="str">
        <f t="shared" ref="D12:D13" si="0">VLOOKUP(C12,$I$10:$J$30,2,TRUE)</f>
        <v xml:space="preserve">$1.3586 </v>
      </c>
      <c r="E12" s="7"/>
      <c r="F12" s="7"/>
      <c r="G12" s="7"/>
      <c r="H12" s="7"/>
      <c r="I12" s="92">
        <v>44201</v>
      </c>
      <c r="J12" s="93" t="s">
        <v>506</v>
      </c>
    </row>
    <row r="13" spans="3:10" x14ac:dyDescent="0.3">
      <c r="C13" s="94">
        <v>44220</v>
      </c>
      <c r="D13" s="95" t="str">
        <f t="shared" si="0"/>
        <v xml:space="preserve">$1.3684 </v>
      </c>
      <c r="E13" s="7"/>
      <c r="F13" s="7"/>
      <c r="G13" s="7"/>
      <c r="H13" s="7"/>
      <c r="I13" s="92">
        <v>44202</v>
      </c>
      <c r="J13" s="93" t="s">
        <v>507</v>
      </c>
    </row>
    <row r="14" spans="3:10" x14ac:dyDescent="0.3">
      <c r="C14" s="7"/>
      <c r="D14" s="7"/>
      <c r="E14" s="7"/>
      <c r="F14" s="7"/>
      <c r="G14" s="7"/>
      <c r="H14" s="7"/>
      <c r="I14" s="92">
        <v>44203</v>
      </c>
      <c r="J14" s="93" t="s">
        <v>508</v>
      </c>
    </row>
    <row r="15" spans="3:10" x14ac:dyDescent="0.3">
      <c r="C15" s="7"/>
      <c r="D15" s="7"/>
      <c r="E15" s="7"/>
      <c r="F15" s="7"/>
      <c r="G15" s="7"/>
      <c r="H15" s="7"/>
      <c r="I15" s="92">
        <v>44204</v>
      </c>
      <c r="J15" s="93" t="s">
        <v>508</v>
      </c>
    </row>
    <row r="16" spans="3:10" x14ac:dyDescent="0.3">
      <c r="C16" s="7"/>
      <c r="D16" s="7"/>
      <c r="E16" s="7"/>
      <c r="F16" s="7"/>
      <c r="G16" s="7"/>
      <c r="H16" s="7"/>
      <c r="I16" s="92">
        <v>44207</v>
      </c>
      <c r="J16" s="93" t="s">
        <v>509</v>
      </c>
    </row>
    <row r="17" spans="3:10" x14ac:dyDescent="0.3">
      <c r="C17" s="7"/>
      <c r="D17" s="7"/>
      <c r="E17" s="7"/>
      <c r="F17" s="7"/>
      <c r="G17" s="7"/>
      <c r="H17" s="7"/>
      <c r="I17" s="92">
        <v>44208</v>
      </c>
      <c r="J17" s="93" t="s">
        <v>510</v>
      </c>
    </row>
    <row r="18" spans="3:10" x14ac:dyDescent="0.3">
      <c r="C18" s="7"/>
      <c r="D18" s="7"/>
      <c r="E18" s="7"/>
      <c r="F18" s="7"/>
      <c r="G18" s="7"/>
      <c r="H18" s="7"/>
      <c r="I18" s="92">
        <v>44209</v>
      </c>
      <c r="J18" s="93" t="s">
        <v>511</v>
      </c>
    </row>
    <row r="19" spans="3:10" x14ac:dyDescent="0.3">
      <c r="C19" s="7"/>
      <c r="D19" s="7"/>
      <c r="E19" s="7"/>
      <c r="F19" s="7"/>
      <c r="G19" s="7"/>
      <c r="H19" s="7"/>
      <c r="I19" s="92">
        <v>44210</v>
      </c>
      <c r="J19" s="93" t="s">
        <v>512</v>
      </c>
    </row>
    <row r="20" spans="3:10" x14ac:dyDescent="0.3">
      <c r="C20" s="7"/>
      <c r="D20" s="7"/>
      <c r="E20" s="7"/>
      <c r="F20" s="7"/>
      <c r="G20" s="7"/>
      <c r="H20" s="7"/>
      <c r="I20" s="92">
        <v>44211</v>
      </c>
      <c r="J20" s="93" t="s">
        <v>513</v>
      </c>
    </row>
    <row r="21" spans="3:10" x14ac:dyDescent="0.3">
      <c r="C21" s="7"/>
      <c r="D21" s="7"/>
      <c r="E21" s="7"/>
      <c r="F21" s="7"/>
      <c r="G21" s="7"/>
      <c r="H21" s="7"/>
      <c r="I21" s="92">
        <v>44214</v>
      </c>
      <c r="J21" s="93" t="s">
        <v>514</v>
      </c>
    </row>
    <row r="22" spans="3:10" x14ac:dyDescent="0.3">
      <c r="C22" s="7"/>
      <c r="D22" s="7"/>
      <c r="E22" s="7"/>
      <c r="F22" s="7"/>
      <c r="G22" s="7"/>
      <c r="H22" s="7"/>
      <c r="I22" s="92">
        <v>44215</v>
      </c>
      <c r="J22" s="93" t="s">
        <v>515</v>
      </c>
    </row>
    <row r="23" spans="3:10" x14ac:dyDescent="0.3">
      <c r="C23" s="7"/>
      <c r="D23" s="7"/>
      <c r="E23" s="7"/>
      <c r="F23" s="7"/>
      <c r="G23" s="7"/>
      <c r="H23" s="7"/>
      <c r="I23" s="92">
        <v>44216</v>
      </c>
      <c r="J23" s="93" t="s">
        <v>516</v>
      </c>
    </row>
    <row r="24" spans="3:10" x14ac:dyDescent="0.3">
      <c r="C24" s="7"/>
      <c r="D24" s="7"/>
      <c r="E24" s="7"/>
      <c r="F24" s="7"/>
      <c r="G24" s="7"/>
      <c r="H24" s="7"/>
      <c r="I24" s="92">
        <v>44217</v>
      </c>
      <c r="J24" s="93" t="s">
        <v>517</v>
      </c>
    </row>
    <row r="25" spans="3:10" x14ac:dyDescent="0.3">
      <c r="C25" s="7"/>
      <c r="D25" s="7"/>
      <c r="E25" s="7"/>
      <c r="F25" s="7"/>
      <c r="G25" s="7"/>
      <c r="H25" s="7"/>
      <c r="I25" s="92">
        <v>44218</v>
      </c>
      <c r="J25" s="93" t="s">
        <v>518</v>
      </c>
    </row>
    <row r="26" spans="3:10" x14ac:dyDescent="0.3">
      <c r="C26" s="7"/>
      <c r="D26" s="7"/>
      <c r="E26" s="7"/>
      <c r="F26" s="7"/>
      <c r="G26" s="7"/>
      <c r="H26" s="7"/>
      <c r="I26" s="92">
        <v>44221</v>
      </c>
      <c r="J26" s="93" t="s">
        <v>519</v>
      </c>
    </row>
    <row r="27" spans="3:10" x14ac:dyDescent="0.3">
      <c r="C27" s="7"/>
      <c r="D27" s="7"/>
      <c r="E27" s="7"/>
      <c r="F27" s="7"/>
      <c r="G27" s="7"/>
      <c r="H27" s="7"/>
      <c r="I27" s="92">
        <v>44222</v>
      </c>
      <c r="J27" s="93" t="s">
        <v>520</v>
      </c>
    </row>
    <row r="28" spans="3:10" x14ac:dyDescent="0.3">
      <c r="C28" s="7"/>
      <c r="D28" s="7"/>
      <c r="E28" s="7"/>
      <c r="F28" s="7"/>
      <c r="G28" s="7"/>
      <c r="H28" s="7"/>
      <c r="I28" s="92">
        <v>44223</v>
      </c>
      <c r="J28" s="93" t="s">
        <v>521</v>
      </c>
    </row>
    <row r="29" spans="3:10" x14ac:dyDescent="0.3">
      <c r="C29" s="7"/>
      <c r="D29" s="7"/>
      <c r="E29" s="7"/>
      <c r="F29" s="7"/>
      <c r="G29" s="7"/>
      <c r="H29" s="7"/>
      <c r="I29" s="92">
        <v>44224</v>
      </c>
      <c r="J29" s="93" t="s">
        <v>522</v>
      </c>
    </row>
    <row r="30" spans="3:10" x14ac:dyDescent="0.3">
      <c r="C30" s="7"/>
      <c r="D30" s="7"/>
      <c r="E30" s="7"/>
      <c r="F30" s="7"/>
      <c r="G30" s="7"/>
      <c r="H30" s="7"/>
      <c r="I30" s="92">
        <v>44225</v>
      </c>
      <c r="J30" s="93" t="s">
        <v>523</v>
      </c>
    </row>
  </sheetData>
  <mergeCells count="1">
    <mergeCell ref="C1:I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D3D9-2FDC-479A-977F-B6115D0E57DF}">
  <dimension ref="B1:H36"/>
  <sheetViews>
    <sheetView workbookViewId="0">
      <selection activeCell="D27" sqref="D27"/>
    </sheetView>
  </sheetViews>
  <sheetFormatPr defaultRowHeight="14.4" x14ac:dyDescent="0.3"/>
  <cols>
    <col min="3" max="3" width="35.109375" bestFit="1" customWidth="1"/>
    <col min="4" max="4" width="15.88671875" bestFit="1" customWidth="1"/>
    <col min="5" max="5" width="9.6640625" bestFit="1" customWidth="1"/>
    <col min="6" max="6" width="13.33203125" bestFit="1" customWidth="1"/>
    <col min="7" max="7" width="4.21875" bestFit="1" customWidth="1"/>
  </cols>
  <sheetData>
    <row r="1" spans="2:8" ht="58.8" customHeight="1" x14ac:dyDescent="0.3">
      <c r="C1" s="107" t="s">
        <v>524</v>
      </c>
      <c r="D1" s="107"/>
      <c r="E1" s="107"/>
      <c r="F1" s="107"/>
      <c r="G1" s="107"/>
    </row>
    <row r="4" spans="2:8" x14ac:dyDescent="0.3">
      <c r="B4" s="6"/>
      <c r="C4" s="105" t="s">
        <v>525</v>
      </c>
      <c r="D4" s="105"/>
      <c r="E4" s="105"/>
      <c r="F4" s="105"/>
      <c r="G4" s="7"/>
      <c r="H4" s="7"/>
    </row>
    <row r="5" spans="2:8" x14ac:dyDescent="0.3">
      <c r="B5" s="105"/>
      <c r="C5" s="105"/>
      <c r="D5" s="7"/>
      <c r="E5" s="7"/>
      <c r="F5" s="7"/>
      <c r="G5" s="7"/>
      <c r="H5" s="7"/>
    </row>
    <row r="6" spans="2:8" x14ac:dyDescent="0.3">
      <c r="B6" s="6"/>
      <c r="C6" s="96" t="s">
        <v>97</v>
      </c>
      <c r="D6" s="97" t="s">
        <v>1</v>
      </c>
      <c r="E6" s="97" t="s">
        <v>526</v>
      </c>
      <c r="F6" s="97" t="s">
        <v>114</v>
      </c>
      <c r="G6" s="97" t="s">
        <v>158</v>
      </c>
      <c r="H6" s="7"/>
    </row>
    <row r="7" spans="2:8" x14ac:dyDescent="0.3">
      <c r="B7" s="6"/>
      <c r="C7" s="98">
        <v>56815</v>
      </c>
      <c r="D7" s="99" t="s">
        <v>527</v>
      </c>
      <c r="E7" s="99" t="s">
        <v>528</v>
      </c>
      <c r="F7" s="100">
        <v>13836</v>
      </c>
      <c r="G7" s="100">
        <v>25</v>
      </c>
      <c r="H7" s="7"/>
    </row>
    <row r="8" spans="2:8" x14ac:dyDescent="0.3">
      <c r="B8" s="6"/>
      <c r="C8" s="98">
        <v>51186</v>
      </c>
      <c r="D8" s="99" t="s">
        <v>529</v>
      </c>
      <c r="E8" s="99" t="s">
        <v>530</v>
      </c>
      <c r="F8" s="100">
        <v>11771</v>
      </c>
      <c r="G8" s="100">
        <v>32</v>
      </c>
      <c r="H8" s="7"/>
    </row>
    <row r="9" spans="2:8" x14ac:dyDescent="0.3">
      <c r="B9" s="6"/>
      <c r="C9" s="98">
        <v>51511</v>
      </c>
      <c r="D9" s="99" t="s">
        <v>531</v>
      </c>
      <c r="E9" s="99" t="s">
        <v>532</v>
      </c>
      <c r="F9" s="100">
        <v>13046</v>
      </c>
      <c r="G9" s="100">
        <v>35</v>
      </c>
      <c r="H9" s="7"/>
    </row>
    <row r="10" spans="2:8" x14ac:dyDescent="0.3">
      <c r="B10" s="6"/>
      <c r="C10" s="98">
        <v>50890</v>
      </c>
      <c r="D10" s="99" t="s">
        <v>533</v>
      </c>
      <c r="E10" s="99" t="s">
        <v>534</v>
      </c>
      <c r="F10" s="100">
        <v>18276</v>
      </c>
      <c r="G10" s="100">
        <v>32</v>
      </c>
      <c r="H10" s="7"/>
    </row>
    <row r="11" spans="2:8" x14ac:dyDescent="0.3">
      <c r="B11" s="6"/>
      <c r="C11" s="98">
        <v>53700</v>
      </c>
      <c r="D11" s="99" t="s">
        <v>535</v>
      </c>
      <c r="E11" s="99" t="s">
        <v>536</v>
      </c>
      <c r="F11" s="100">
        <v>19327</v>
      </c>
      <c r="G11" s="100">
        <v>26</v>
      </c>
      <c r="H11" s="7"/>
    </row>
    <row r="12" spans="2:8" x14ac:dyDescent="0.3">
      <c r="B12" s="6"/>
      <c r="C12" s="98">
        <v>55879</v>
      </c>
      <c r="D12" s="99" t="s">
        <v>537</v>
      </c>
      <c r="E12" s="99" t="s">
        <v>538</v>
      </c>
      <c r="F12" s="100">
        <v>18996</v>
      </c>
      <c r="G12" s="100">
        <v>35</v>
      </c>
      <c r="H12" s="7"/>
    </row>
    <row r="13" spans="2:8" x14ac:dyDescent="0.3">
      <c r="B13" s="6"/>
      <c r="C13" s="98">
        <v>59848</v>
      </c>
      <c r="D13" s="99" t="s">
        <v>539</v>
      </c>
      <c r="E13" s="99" t="s">
        <v>532</v>
      </c>
      <c r="F13" s="100">
        <v>10387</v>
      </c>
      <c r="G13" s="100">
        <v>25</v>
      </c>
      <c r="H13" s="7"/>
    </row>
    <row r="14" spans="2:8" x14ac:dyDescent="0.3">
      <c r="B14" s="6"/>
      <c r="C14" s="98">
        <v>58369</v>
      </c>
      <c r="D14" s="99" t="s">
        <v>540</v>
      </c>
      <c r="E14" s="99" t="s">
        <v>538</v>
      </c>
      <c r="F14" s="100">
        <v>12566</v>
      </c>
      <c r="G14" s="100">
        <v>37</v>
      </c>
      <c r="H14" s="7"/>
    </row>
    <row r="15" spans="2:8" x14ac:dyDescent="0.3">
      <c r="B15" s="6"/>
      <c r="C15" s="98">
        <v>50217</v>
      </c>
      <c r="D15" s="99" t="s">
        <v>541</v>
      </c>
      <c r="E15" s="99" t="s">
        <v>542</v>
      </c>
      <c r="F15" s="100">
        <v>16406</v>
      </c>
      <c r="G15" s="100">
        <v>42</v>
      </c>
      <c r="H15" s="7"/>
    </row>
    <row r="16" spans="2:8" x14ac:dyDescent="0.3">
      <c r="B16" s="6"/>
      <c r="C16" s="98">
        <v>50695</v>
      </c>
      <c r="D16" s="99" t="s">
        <v>543</v>
      </c>
      <c r="E16" s="99" t="s">
        <v>534</v>
      </c>
      <c r="F16" s="100">
        <v>15784</v>
      </c>
      <c r="G16" s="100">
        <v>43</v>
      </c>
      <c r="H16" s="7"/>
    </row>
    <row r="17" spans="2:8" x14ac:dyDescent="0.3">
      <c r="B17" s="6"/>
      <c r="C17" s="98">
        <v>59673</v>
      </c>
      <c r="D17" s="99" t="s">
        <v>544</v>
      </c>
      <c r="E17" s="99" t="s">
        <v>528</v>
      </c>
      <c r="F17" s="100">
        <v>10959</v>
      </c>
      <c r="G17" s="100">
        <v>30</v>
      </c>
      <c r="H17" s="7"/>
    </row>
    <row r="18" spans="2:8" x14ac:dyDescent="0.3">
      <c r="B18" s="6"/>
      <c r="C18" s="98">
        <v>52130</v>
      </c>
      <c r="D18" s="99" t="s">
        <v>545</v>
      </c>
      <c r="E18" s="99" t="s">
        <v>546</v>
      </c>
      <c r="F18" s="100">
        <v>14562</v>
      </c>
      <c r="G18" s="100">
        <v>32</v>
      </c>
      <c r="H18" s="7"/>
    </row>
    <row r="19" spans="2:8" x14ac:dyDescent="0.3">
      <c r="B19" s="105"/>
      <c r="C19" s="105"/>
      <c r="D19" s="7"/>
      <c r="E19" s="7"/>
      <c r="F19" s="7"/>
      <c r="G19" s="7"/>
      <c r="H19" s="7"/>
    </row>
    <row r="20" spans="2:8" x14ac:dyDescent="0.3">
      <c r="B20" s="101">
        <v>1</v>
      </c>
      <c r="C20" s="7" t="s">
        <v>547</v>
      </c>
      <c r="D20" s="1"/>
      <c r="E20" s="1"/>
      <c r="F20" s="11" t="str">
        <f>VLOOKUP(C14,$C$7:$G$18,2,FALSE)</f>
        <v>Thomas Davies</v>
      </c>
      <c r="G20" s="7"/>
      <c r="H20" s="7"/>
    </row>
    <row r="21" spans="2:8" x14ac:dyDescent="0.3">
      <c r="B21" s="105"/>
      <c r="C21" s="105"/>
      <c r="D21" s="7"/>
      <c r="E21" s="7"/>
      <c r="F21" s="7"/>
      <c r="G21" s="7"/>
      <c r="H21" s="7"/>
    </row>
    <row r="22" spans="2:8" x14ac:dyDescent="0.3">
      <c r="B22" s="101">
        <v>2</v>
      </c>
      <c r="C22" s="7" t="s">
        <v>548</v>
      </c>
      <c r="D22" s="1"/>
      <c r="E22" s="7"/>
      <c r="F22" s="11">
        <f>VLOOKUP(D17,$D$7:$G$18,4,FALSE)</f>
        <v>30</v>
      </c>
      <c r="G22" s="7"/>
      <c r="H22" s="7"/>
    </row>
    <row r="23" spans="2:8" x14ac:dyDescent="0.3">
      <c r="B23" s="105"/>
      <c r="C23" s="105"/>
      <c r="D23" s="7"/>
      <c r="E23" s="7"/>
      <c r="F23" s="7"/>
      <c r="G23" s="7"/>
      <c r="H23" s="7"/>
    </row>
    <row r="24" spans="2:8" x14ac:dyDescent="0.3">
      <c r="B24" s="101">
        <v>3</v>
      </c>
      <c r="C24" s="106" t="s">
        <v>549</v>
      </c>
      <c r="D24" s="106"/>
      <c r="E24" s="106"/>
      <c r="F24" s="7"/>
      <c r="G24" s="7"/>
      <c r="H24" s="7"/>
    </row>
    <row r="25" spans="2:8" x14ac:dyDescent="0.3">
      <c r="B25" s="105"/>
      <c r="C25" s="105"/>
      <c r="D25" s="7"/>
      <c r="E25" s="7"/>
      <c r="F25" s="7"/>
      <c r="G25" s="7"/>
      <c r="H25" s="7"/>
    </row>
    <row r="26" spans="2:8" x14ac:dyDescent="0.3">
      <c r="B26" s="6"/>
      <c r="C26" s="36" t="s">
        <v>97</v>
      </c>
      <c r="D26" s="102" t="s">
        <v>526</v>
      </c>
      <c r="E26" s="7"/>
      <c r="F26" s="7"/>
      <c r="G26" s="7"/>
      <c r="H26" s="7"/>
    </row>
    <row r="27" spans="2:8" x14ac:dyDescent="0.3">
      <c r="B27" s="6"/>
      <c r="C27" s="98">
        <v>55879</v>
      </c>
      <c r="D27" s="103"/>
      <c r="E27" s="7"/>
      <c r="F27" s="7"/>
      <c r="G27" s="7"/>
      <c r="H27" s="7"/>
    </row>
    <row r="28" spans="2:8" x14ac:dyDescent="0.3">
      <c r="B28" s="6"/>
      <c r="C28" s="98">
        <v>50217</v>
      </c>
      <c r="D28" s="103" t="e">
        <f t="shared" ref="D28:D29" si="0">VLOOKUP(C28,$C$7:$G$18,3,1)</f>
        <v>#N/A</v>
      </c>
      <c r="E28" s="7"/>
      <c r="F28" s="7"/>
      <c r="G28" s="7"/>
      <c r="H28" s="7"/>
    </row>
    <row r="29" spans="2:8" x14ac:dyDescent="0.3">
      <c r="B29" s="6"/>
      <c r="C29" s="98">
        <v>50695</v>
      </c>
      <c r="D29" s="103" t="e">
        <f t="shared" si="0"/>
        <v>#N/A</v>
      </c>
      <c r="E29" s="7"/>
      <c r="F29" s="7"/>
      <c r="G29" s="7"/>
      <c r="H29" s="7"/>
    </row>
    <row r="30" spans="2:8" x14ac:dyDescent="0.3">
      <c r="B30" s="105"/>
      <c r="C30" s="105"/>
      <c r="D30" s="7"/>
      <c r="E30" s="7"/>
      <c r="F30" s="7"/>
      <c r="G30" s="7"/>
      <c r="H30" s="7"/>
    </row>
    <row r="31" spans="2:8" x14ac:dyDescent="0.3">
      <c r="B31" s="101">
        <v>4</v>
      </c>
      <c r="C31" s="106" t="s">
        <v>550</v>
      </c>
      <c r="D31" s="106"/>
      <c r="E31" s="106"/>
      <c r="F31" s="7"/>
      <c r="G31" s="7"/>
      <c r="H31" s="7"/>
    </row>
    <row r="32" spans="2:8" x14ac:dyDescent="0.3">
      <c r="B32" s="105"/>
      <c r="C32" s="105"/>
      <c r="D32" s="7"/>
      <c r="E32" s="7"/>
      <c r="F32" s="7"/>
      <c r="G32" s="7"/>
      <c r="H32" s="7"/>
    </row>
    <row r="33" spans="2:8" x14ac:dyDescent="0.3">
      <c r="B33" s="6"/>
      <c r="C33" s="36" t="s">
        <v>1</v>
      </c>
      <c r="D33" s="102" t="s">
        <v>114</v>
      </c>
      <c r="E33" s="7"/>
      <c r="F33" s="7"/>
      <c r="G33" s="7"/>
      <c r="H33" s="7"/>
    </row>
    <row r="34" spans="2:8" x14ac:dyDescent="0.3">
      <c r="B34" s="6"/>
      <c r="C34" s="104" t="s">
        <v>533</v>
      </c>
      <c r="D34" s="103"/>
      <c r="E34" s="7"/>
      <c r="F34" s="7"/>
      <c r="G34" s="7"/>
      <c r="H34" s="7"/>
    </row>
    <row r="35" spans="2:8" x14ac:dyDescent="0.3">
      <c r="B35" s="6"/>
      <c r="C35" s="104" t="s">
        <v>551</v>
      </c>
      <c r="D35" s="103"/>
      <c r="E35" s="7"/>
      <c r="F35" s="7"/>
      <c r="G35" s="7"/>
      <c r="H35" s="7"/>
    </row>
    <row r="36" spans="2:8" x14ac:dyDescent="0.3">
      <c r="B36" s="6"/>
      <c r="C36" s="104" t="s">
        <v>544</v>
      </c>
      <c r="D36" s="103"/>
      <c r="E36" s="7"/>
      <c r="F36" s="7"/>
      <c r="G36" s="7"/>
      <c r="H36" s="7"/>
    </row>
  </sheetData>
  <mergeCells count="11">
    <mergeCell ref="B25:C25"/>
    <mergeCell ref="B30:C30"/>
    <mergeCell ref="C31:E31"/>
    <mergeCell ref="B32:C32"/>
    <mergeCell ref="C1:G1"/>
    <mergeCell ref="C4:F4"/>
    <mergeCell ref="B5:C5"/>
    <mergeCell ref="B19:C19"/>
    <mergeCell ref="B21:C21"/>
    <mergeCell ref="B23:C23"/>
    <mergeCell ref="C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Average 1</vt:lpstr>
      <vt:lpstr>Average 3</vt:lpstr>
      <vt:lpstr>Count 1</vt:lpstr>
      <vt:lpstr>Count 2</vt:lpstr>
      <vt:lpstr>Count 3</vt:lpstr>
      <vt:lpstr>Hlookup</vt:lpstr>
      <vt:lpstr>IF 1 </vt:lpstr>
      <vt:lpstr>IF 2</vt:lpstr>
      <vt:lpstr>IF 3</vt:lpstr>
      <vt:lpstr>IF 4</vt:lpstr>
      <vt:lpstr> MATH 1</vt:lpstr>
      <vt:lpstr>MAX MIN 1</vt:lpstr>
      <vt:lpstr>MAX MIN 2</vt:lpstr>
      <vt:lpstr>MAX MIN 3</vt:lpstr>
      <vt:lpstr>Nested IF</vt:lpstr>
      <vt:lpstr>Sum 1</vt:lpstr>
      <vt:lpstr>Sum 2</vt:lpstr>
      <vt:lpstr>Sum 3</vt:lpstr>
      <vt:lpstr>Sumif 1</vt:lpstr>
      <vt:lpstr>Sumif 2</vt:lpstr>
      <vt:lpstr>Vlookup+Approx Match</vt:lpstr>
      <vt:lpstr>Vlookup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dubey</dc:creator>
  <cp:lastModifiedBy>Riya Mishra</cp:lastModifiedBy>
  <dcterms:created xsi:type="dcterms:W3CDTF">2026-03-16T14:47:44Z</dcterms:created>
  <dcterms:modified xsi:type="dcterms:W3CDTF">2026-04-05T06:52:28Z</dcterms:modified>
</cp:coreProperties>
</file>